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khine\Downloads\Excel Project 2\"/>
    </mc:Choice>
  </mc:AlternateContent>
  <xr:revisionPtr revIDLastSave="0" documentId="13_ncr:1_{1BBF9E73-F7CA-4988-9801-C9FEF7CD7E2B}" xr6:coauthVersionLast="47" xr6:coauthVersionMax="47" xr10:uidLastSave="{00000000-0000-0000-0000-000000000000}"/>
  <bookViews>
    <workbookView xWindow="-98" yWindow="-98" windowWidth="21795" windowHeight="12975" firstSheet="7" activeTab="10" xr2:uid="{E661E136-2A63-40A3-B49F-2F2F18EB9510}"/>
  </bookViews>
  <sheets>
    <sheet name="DashBoard" sheetId="8" r:id="rId1"/>
    <sheet name="Gauge Chart" sheetId="9" r:id="rId2"/>
    <sheet name="Pie Chart" sheetId="6" r:id="rId3"/>
    <sheet name="ParetoChart" sheetId="7" r:id="rId4"/>
    <sheet name="Scatter Plot" sheetId="4" r:id="rId5"/>
    <sheet name="Items Purchased-Gender and Age" sheetId="2" r:id="rId6"/>
    <sheet name="Slicers" sheetId="11" r:id="rId7"/>
    <sheet name="City" sheetId="13" r:id="rId8"/>
    <sheet name="Age" sheetId="14" r:id="rId9"/>
    <sheet name="Customers" sheetId="15" r:id="rId10"/>
    <sheet name="E-commerce Customer Behavior - " sheetId="1" r:id="rId11"/>
  </sheets>
  <externalReferences>
    <externalReference r:id="rId12"/>
  </externalReferences>
  <definedNames>
    <definedName name="_xlchart.v1.0" hidden="1">ParetoChart!$A$4:$A$9</definedName>
    <definedName name="_xlchart.v1.1" hidden="1">ParetoChart!$B$4:$B$9</definedName>
    <definedName name="_xlchart.v1.2" hidden="1">'[1]Key Cities and Discount'!$A$4:$A$9</definedName>
    <definedName name="_xlchart.v1.3" hidden="1">'[1]Key Cities and Discount'!$B$4:$B$9</definedName>
    <definedName name="_xlchart.v1.4" hidden="1">ParetoChart!$A$4:$A$9</definedName>
    <definedName name="_xlchart.v1.5" hidden="1">ParetoChart!$B$4:$B$9</definedName>
    <definedName name="Slicer_Being_Active1">#N/A</definedName>
    <definedName name="Slicer_City1">#N/A</definedName>
    <definedName name="Slicer_Gender1">#N/A</definedName>
    <definedName name="Slicer_Membership_Type1">#N/A</definedName>
    <definedName name="Total">Customers!$A$4</definedName>
  </definedNames>
  <calcPr calcId="191029"/>
  <pivotCaches>
    <pivotCache cacheId="3"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9" l="1" a="1"/>
  <c r="A12" i="9" s="1"/>
  <c r="A17" i="7" a="1"/>
  <c r="A17" i="7"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N2" i="1" a="1"/>
  <c r="N2" i="1" s="1"/>
  <c r="N3" i="1" a="1"/>
  <c r="N3" i="1" s="1"/>
  <c r="N4" i="1" a="1"/>
  <c r="N4" i="1"/>
  <c r="N5" i="1" a="1"/>
  <c r="N5" i="1" s="1"/>
  <c r="N6" i="1" a="1"/>
  <c r="N6" i="1" s="1"/>
  <c r="N7" i="1" a="1"/>
  <c r="N7" i="1"/>
  <c r="N8" i="1" a="1"/>
  <c r="N8" i="1" s="1"/>
  <c r="N9" i="1" a="1"/>
  <c r="N9" i="1" s="1"/>
  <c r="N10" i="1" a="1"/>
  <c r="N10" i="1" s="1"/>
  <c r="N11" i="1" a="1"/>
  <c r="N11" i="1" s="1"/>
  <c r="N12" i="1" a="1"/>
  <c r="N12" i="1"/>
  <c r="N13" i="1" a="1"/>
  <c r="N13" i="1"/>
  <c r="N14" i="1" a="1"/>
  <c r="N14" i="1" s="1"/>
  <c r="N15" i="1" a="1"/>
  <c r="N15" i="1" s="1"/>
  <c r="N16" i="1" a="1"/>
  <c r="N16" i="1"/>
  <c r="N17" i="1" a="1"/>
  <c r="N17" i="1"/>
  <c r="N18" i="1" a="1"/>
  <c r="N18" i="1" s="1"/>
  <c r="N19" i="1" a="1"/>
  <c r="N19" i="1" s="1"/>
  <c r="N20" i="1" a="1"/>
  <c r="N20" i="1" s="1"/>
  <c r="N21" i="1" a="1"/>
  <c r="N21" i="1"/>
  <c r="N22" i="1" a="1"/>
  <c r="N22" i="1" s="1"/>
  <c r="N23" i="1" a="1"/>
  <c r="N23" i="1"/>
  <c r="N24" i="1" a="1"/>
  <c r="N24" i="1" s="1"/>
  <c r="N25" i="1" a="1"/>
  <c r="N25" i="1" s="1"/>
  <c r="N26" i="1" a="1"/>
  <c r="N26" i="1" s="1"/>
  <c r="N27" i="1" a="1"/>
  <c r="N27" i="1"/>
  <c r="N28" i="1" a="1"/>
  <c r="N28" i="1"/>
  <c r="N29" i="1" a="1"/>
  <c r="N29" i="1" s="1"/>
  <c r="N30" i="1" a="1"/>
  <c r="N30" i="1" s="1"/>
  <c r="N31" i="1" a="1"/>
  <c r="N31" i="1"/>
  <c r="N32" i="1" a="1"/>
  <c r="N32" i="1"/>
  <c r="N33" i="1" a="1"/>
  <c r="N33" i="1"/>
  <c r="N34" i="1" a="1"/>
  <c r="N34" i="1" s="1"/>
  <c r="N35" i="1" a="1"/>
  <c r="N35" i="1" s="1"/>
  <c r="N36" i="1" a="1"/>
  <c r="N36" i="1"/>
  <c r="N37" i="1" a="1"/>
  <c r="N37" i="1"/>
  <c r="N38" i="1" a="1"/>
  <c r="N38" i="1" s="1"/>
  <c r="N39" i="1" a="1"/>
  <c r="N39" i="1"/>
  <c r="N40" i="1" a="1"/>
  <c r="N40" i="1"/>
  <c r="N41" i="1" a="1"/>
  <c r="N41" i="1" s="1"/>
  <c r="N42" i="1" a="1"/>
  <c r="N42" i="1" s="1"/>
  <c r="N43" i="1" a="1"/>
  <c r="N43" i="1"/>
  <c r="N44" i="1" a="1"/>
  <c r="N44" i="1" s="1"/>
  <c r="N45" i="1" a="1"/>
  <c r="N45" i="1"/>
  <c r="N46" i="1" a="1"/>
  <c r="N46" i="1" s="1"/>
  <c r="N47" i="1" a="1"/>
  <c r="N47" i="1"/>
  <c r="N48" i="1" a="1"/>
  <c r="N48" i="1"/>
  <c r="N49" i="1" a="1"/>
  <c r="N49" i="1" s="1"/>
  <c r="N50" i="1" a="1"/>
  <c r="N50" i="1" s="1"/>
  <c r="N51" i="1" a="1"/>
  <c r="N51" i="1"/>
  <c r="N52" i="1" a="1"/>
  <c r="N52" i="1" s="1"/>
  <c r="N53" i="1" a="1"/>
  <c r="N53" i="1"/>
  <c r="N54" i="1" a="1"/>
  <c r="N54" i="1" s="1"/>
  <c r="N55" i="1" a="1"/>
  <c r="N55" i="1"/>
  <c r="N56" i="1" a="1"/>
  <c r="N56" i="1"/>
  <c r="N57" i="1" a="1"/>
  <c r="N57" i="1"/>
  <c r="N58" i="1" a="1"/>
  <c r="N58" i="1" s="1"/>
  <c r="N59" i="1" a="1"/>
  <c r="N59" i="1" s="1"/>
  <c r="N60" i="1" a="1"/>
  <c r="N60" i="1"/>
  <c r="N61" i="1" a="1"/>
  <c r="N61" i="1" s="1"/>
  <c r="N62" i="1" a="1"/>
  <c r="N62" i="1" s="1"/>
  <c r="N63" i="1" a="1"/>
  <c r="N63" i="1"/>
  <c r="N64" i="1" a="1"/>
  <c r="N64" i="1" s="1"/>
  <c r="N65" i="1" a="1"/>
  <c r="N65" i="1"/>
  <c r="N66" i="1" a="1"/>
  <c r="N66" i="1" s="1"/>
  <c r="N67" i="1" a="1"/>
  <c r="N67" i="1"/>
  <c r="N68" i="1" a="1"/>
  <c r="N68" i="1" s="1"/>
  <c r="N69" i="1" a="1"/>
  <c r="N69" i="1" s="1"/>
  <c r="N70" i="1" a="1"/>
  <c r="N70" i="1" s="1"/>
  <c r="N71" i="1" a="1"/>
  <c r="N71" i="1"/>
  <c r="N72" i="1" a="1"/>
  <c r="N72" i="1"/>
  <c r="N73" i="1" a="1"/>
  <c r="N73" i="1" s="1"/>
  <c r="N74" i="1" a="1"/>
  <c r="N74" i="1" s="1"/>
  <c r="N75" i="1" a="1"/>
  <c r="N75" i="1" s="1"/>
  <c r="N76" i="1" a="1"/>
  <c r="N76" i="1"/>
  <c r="N77" i="1" a="1"/>
  <c r="N77" i="1"/>
  <c r="N78" i="1" a="1"/>
  <c r="N78" i="1" s="1"/>
  <c r="N79" i="1" a="1"/>
  <c r="N79" i="1" s="1"/>
  <c r="N80" i="1" a="1"/>
  <c r="N80" i="1"/>
  <c r="N81" i="1" a="1"/>
  <c r="N81" i="1"/>
  <c r="N82" i="1" a="1"/>
  <c r="N82" i="1" s="1"/>
  <c r="N83" i="1" a="1"/>
  <c r="N83" i="1"/>
  <c r="N84" i="1" a="1"/>
  <c r="N84" i="1" s="1"/>
  <c r="N85" i="1" a="1"/>
  <c r="N85" i="1"/>
  <c r="N86" i="1" a="1"/>
  <c r="N86" i="1" s="1"/>
  <c r="N87" i="1" a="1"/>
  <c r="N87" i="1"/>
  <c r="N88" i="1" a="1"/>
  <c r="N88" i="1"/>
  <c r="N89" i="1" a="1"/>
  <c r="N89" i="1"/>
  <c r="N90" i="1" a="1"/>
  <c r="N90" i="1" s="1"/>
  <c r="N91" i="1" a="1"/>
  <c r="N91" i="1"/>
  <c r="N92" i="1" a="1"/>
  <c r="N92" i="1" s="1"/>
  <c r="N93" i="1" a="1"/>
  <c r="N93" i="1" s="1"/>
  <c r="N94" i="1" a="1"/>
  <c r="N94" i="1" s="1"/>
  <c r="N95" i="1" a="1"/>
  <c r="N95" i="1"/>
  <c r="N96" i="1" a="1"/>
  <c r="N96" i="1"/>
  <c r="N97" i="1" a="1"/>
  <c r="N97" i="1" s="1"/>
  <c r="N98" i="1" a="1"/>
  <c r="N98" i="1" s="1"/>
  <c r="N99" i="1" a="1"/>
  <c r="N99" i="1"/>
  <c r="N100" i="1" a="1"/>
  <c r="N100" i="1"/>
  <c r="N101" i="1" a="1"/>
  <c r="N101" i="1"/>
  <c r="N102" i="1" a="1"/>
  <c r="N102" i="1" s="1"/>
  <c r="N103" i="1" a="1"/>
  <c r="N103" i="1"/>
  <c r="N104" i="1" a="1"/>
  <c r="N104" i="1" s="1"/>
  <c r="N105" i="1" a="1"/>
  <c r="N105" i="1"/>
  <c r="N106" i="1" a="1"/>
  <c r="N106" i="1" s="1"/>
  <c r="N107" i="1" a="1"/>
  <c r="N107" i="1" s="1"/>
  <c r="N108" i="1" a="1"/>
  <c r="N108" i="1"/>
  <c r="N109" i="1" a="1"/>
  <c r="N109" i="1" s="1"/>
  <c r="N110" i="1" a="1"/>
  <c r="N110" i="1" s="1"/>
  <c r="N111" i="1" a="1"/>
  <c r="N111" i="1"/>
  <c r="N112" i="1" a="1"/>
  <c r="N112" i="1"/>
  <c r="N113" i="1" a="1"/>
  <c r="N113" i="1"/>
  <c r="N114" i="1" a="1"/>
  <c r="N114" i="1" s="1"/>
  <c r="N115" i="1" a="1"/>
  <c r="N115" i="1" s="1"/>
  <c r="N116" i="1" a="1"/>
  <c r="N116" i="1" s="1"/>
  <c r="N117" i="1" a="1"/>
  <c r="N117" i="1"/>
  <c r="N118" i="1" a="1"/>
  <c r="N118" i="1" s="1"/>
  <c r="N119" i="1" a="1"/>
  <c r="N119" i="1" s="1"/>
  <c r="N120" i="1" a="1"/>
  <c r="N120" i="1"/>
  <c r="N121" i="1" a="1"/>
  <c r="N121" i="1" s="1"/>
  <c r="N122" i="1" a="1"/>
  <c r="N122" i="1" s="1"/>
  <c r="N123" i="1" a="1"/>
  <c r="N123" i="1"/>
  <c r="N124" i="1" a="1"/>
  <c r="N124" i="1" s="1"/>
  <c r="N125" i="1" a="1"/>
  <c r="N125" i="1" s="1"/>
  <c r="N126" i="1" a="1"/>
  <c r="N126" i="1" s="1"/>
  <c r="N127" i="1" a="1"/>
  <c r="N127" i="1" s="1"/>
  <c r="N128" i="1" a="1"/>
  <c r="N128" i="1"/>
  <c r="N129" i="1" a="1"/>
  <c r="N129" i="1" s="1"/>
  <c r="N130" i="1" a="1"/>
  <c r="N130" i="1" s="1"/>
  <c r="N131" i="1" a="1"/>
  <c r="N131" i="1" s="1"/>
  <c r="N132" i="1" a="1"/>
  <c r="N132" i="1"/>
  <c r="N133" i="1" a="1"/>
  <c r="N133" i="1"/>
  <c r="N134" i="1" a="1"/>
  <c r="N134" i="1" s="1"/>
  <c r="N135" i="1" a="1"/>
  <c r="N135" i="1"/>
  <c r="N136" i="1" a="1"/>
  <c r="N136" i="1"/>
  <c r="N137" i="1" a="1"/>
  <c r="N137" i="1" s="1"/>
  <c r="N138" i="1" a="1"/>
  <c r="N138" i="1" s="1"/>
  <c r="N139" i="1" a="1"/>
  <c r="N139" i="1" s="1"/>
  <c r="N140" i="1" a="1"/>
  <c r="N140" i="1"/>
  <c r="N141" i="1" a="1"/>
  <c r="N141" i="1"/>
  <c r="N142" i="1" a="1"/>
  <c r="N142" i="1" s="1"/>
  <c r="N143" i="1" a="1"/>
  <c r="N143" i="1"/>
  <c r="N144" i="1" a="1"/>
  <c r="N144" i="1" s="1"/>
  <c r="N145" i="1" a="1"/>
  <c r="N145" i="1" s="1"/>
  <c r="N146" i="1" a="1"/>
  <c r="N146" i="1" s="1"/>
  <c r="N147" i="1" a="1"/>
  <c r="N147" i="1"/>
  <c r="N148" i="1" a="1"/>
  <c r="N148" i="1" s="1"/>
  <c r="N149" i="1" a="1"/>
  <c r="N149" i="1"/>
  <c r="N150" i="1" a="1"/>
  <c r="N150" i="1" s="1"/>
  <c r="N151" i="1" a="1"/>
  <c r="N151" i="1"/>
  <c r="N152" i="1" a="1"/>
  <c r="N152" i="1"/>
  <c r="N153" i="1" a="1"/>
  <c r="N153" i="1" s="1"/>
  <c r="N154" i="1" a="1"/>
  <c r="N154" i="1" s="1"/>
  <c r="N155" i="1" a="1"/>
  <c r="N155" i="1" s="1"/>
  <c r="N156" i="1" a="1"/>
  <c r="N156" i="1"/>
  <c r="N157" i="1" a="1"/>
  <c r="N157" i="1" s="1"/>
  <c r="N158" i="1" a="1"/>
  <c r="N158" i="1" s="1"/>
  <c r="N159" i="1" a="1"/>
  <c r="N159" i="1" s="1"/>
  <c r="N160" i="1" a="1"/>
  <c r="N160" i="1" s="1"/>
  <c r="N161" i="1" a="1"/>
  <c r="N161" i="1"/>
  <c r="N162" i="1" a="1"/>
  <c r="N162" i="1" s="1"/>
  <c r="N163" i="1" a="1"/>
  <c r="N163" i="1"/>
  <c r="N164" i="1" a="1"/>
  <c r="N164" i="1" s="1"/>
  <c r="N165" i="1" a="1"/>
  <c r="N165" i="1" s="1"/>
  <c r="N166" i="1" a="1"/>
  <c r="N166" i="1" s="1"/>
  <c r="N167" i="1" a="1"/>
  <c r="N167" i="1"/>
  <c r="N168" i="1" a="1"/>
  <c r="N168" i="1"/>
  <c r="N169" i="1" a="1"/>
  <c r="N169" i="1" s="1"/>
  <c r="N170" i="1" a="1"/>
  <c r="N170" i="1" s="1"/>
  <c r="N171" i="1" a="1"/>
  <c r="N171" i="1" s="1"/>
  <c r="N172" i="1" a="1"/>
  <c r="N172" i="1"/>
  <c r="N173" i="1" a="1"/>
  <c r="N173" i="1"/>
  <c r="N174" i="1" a="1"/>
  <c r="N174" i="1" s="1"/>
  <c r="N175" i="1" a="1"/>
  <c r="N175" i="1" s="1"/>
  <c r="N176" i="1" a="1"/>
  <c r="N176" i="1"/>
  <c r="N177" i="1" a="1"/>
  <c r="N177" i="1"/>
  <c r="N178" i="1" a="1"/>
  <c r="N178" i="1" s="1"/>
  <c r="N179" i="1" a="1"/>
  <c r="N179" i="1" s="1"/>
  <c r="N180" i="1" a="1"/>
  <c r="N180" i="1" s="1"/>
  <c r="N181" i="1" a="1"/>
  <c r="N181" i="1" s="1"/>
  <c r="N182" i="1" a="1"/>
  <c r="N182" i="1" s="1"/>
  <c r="N183" i="1" a="1"/>
  <c r="N183" i="1"/>
  <c r="N184" i="1" a="1"/>
  <c r="N184" i="1" s="1"/>
  <c r="N185" i="1" a="1"/>
  <c r="N185" i="1"/>
  <c r="N186" i="1" a="1"/>
  <c r="N186" i="1" s="1"/>
  <c r="N187" i="1" a="1"/>
  <c r="N187" i="1"/>
  <c r="N188" i="1" a="1"/>
  <c r="N188" i="1"/>
  <c r="N189" i="1" a="1"/>
  <c r="N189" i="1" s="1"/>
  <c r="N190" i="1" a="1"/>
  <c r="N190" i="1" s="1"/>
  <c r="N191" i="1" a="1"/>
  <c r="N191" i="1"/>
  <c r="N192" i="1" a="1"/>
  <c r="N192" i="1"/>
  <c r="N193" i="1" a="1"/>
  <c r="N193" i="1"/>
  <c r="N194" i="1" a="1"/>
  <c r="N194" i="1" s="1"/>
  <c r="N195" i="1" a="1"/>
  <c r="N195" i="1"/>
  <c r="N196" i="1" a="1"/>
  <c r="N196" i="1" s="1"/>
  <c r="N197" i="1" a="1"/>
  <c r="N197" i="1"/>
  <c r="N198" i="1" a="1"/>
  <c r="N198" i="1" s="1"/>
  <c r="N199" i="1" a="1"/>
  <c r="N199" i="1"/>
  <c r="N200" i="1" a="1"/>
  <c r="N200" i="1"/>
  <c r="N201" i="1" a="1"/>
  <c r="N201" i="1" s="1"/>
  <c r="N202" i="1" a="1"/>
  <c r="N202" i="1" s="1"/>
  <c r="N203" i="1" a="1"/>
  <c r="N203" i="1" s="1"/>
  <c r="N204" i="1" a="1"/>
  <c r="N204" i="1"/>
  <c r="N205" i="1" a="1"/>
  <c r="N205" i="1"/>
  <c r="N206" i="1" a="1"/>
  <c r="N206" i="1" s="1"/>
  <c r="N207" i="1" a="1"/>
  <c r="N207" i="1"/>
  <c r="N208" i="1" a="1"/>
  <c r="N208" i="1" s="1"/>
  <c r="N209" i="1" a="1"/>
  <c r="N209" i="1"/>
  <c r="N210" i="1" a="1"/>
  <c r="N210" i="1" s="1"/>
  <c r="N211" i="1" a="1"/>
  <c r="N211" i="1" s="1"/>
  <c r="N212" i="1" a="1"/>
  <c r="N212" i="1" s="1"/>
  <c r="N213" i="1" a="1"/>
  <c r="N213" i="1" s="1"/>
  <c r="N214" i="1" a="1"/>
  <c r="N214" i="1" s="1"/>
  <c r="N215" i="1" a="1"/>
  <c r="N215" i="1"/>
  <c r="N216" i="1" a="1"/>
  <c r="N216" i="1"/>
  <c r="N217" i="1" a="1"/>
  <c r="N217" i="1"/>
  <c r="N218" i="1" a="1"/>
  <c r="N218" i="1" s="1"/>
  <c r="N219" i="1" a="1"/>
  <c r="N219" i="1"/>
  <c r="N220" i="1" a="1"/>
  <c r="N220" i="1"/>
  <c r="N221" i="1" a="1"/>
  <c r="N221" i="1" s="1"/>
  <c r="N222" i="1" a="1"/>
  <c r="N222" i="1" s="1"/>
  <c r="N223" i="1" a="1"/>
  <c r="N223" i="1" s="1"/>
  <c r="N224" i="1" a="1"/>
  <c r="N224" i="1"/>
  <c r="N225" i="1" a="1"/>
  <c r="N225" i="1"/>
  <c r="N226" i="1" a="1"/>
  <c r="N226" i="1" s="1"/>
  <c r="N227" i="1" a="1"/>
  <c r="N227" i="1" s="1"/>
  <c r="N228" i="1" a="1"/>
  <c r="N228" i="1"/>
  <c r="N229" i="1" a="1"/>
  <c r="N229" i="1"/>
  <c r="N230" i="1" a="1"/>
  <c r="N230" i="1" s="1"/>
  <c r="N231" i="1" a="1"/>
  <c r="N231" i="1"/>
  <c r="N232" i="1" a="1"/>
  <c r="N232" i="1" s="1"/>
  <c r="N233" i="1" a="1"/>
  <c r="N233" i="1"/>
  <c r="N234" i="1" a="1"/>
  <c r="N234" i="1" s="1"/>
  <c r="N235" i="1" a="1"/>
  <c r="N235" i="1" s="1"/>
  <c r="N236" i="1" a="1"/>
  <c r="N236" i="1"/>
  <c r="N237" i="1" a="1"/>
  <c r="N237" i="1" s="1"/>
  <c r="N238" i="1" a="1"/>
  <c r="N238" i="1" s="1"/>
  <c r="N239" i="1" a="1"/>
  <c r="N239" i="1"/>
  <c r="N240" i="1" a="1"/>
  <c r="N240" i="1"/>
  <c r="N241" i="1" a="1"/>
  <c r="N241" i="1"/>
  <c r="N242" i="1" a="1"/>
  <c r="N242" i="1" s="1"/>
  <c r="N243" i="1" a="1"/>
  <c r="N243" i="1"/>
  <c r="N244" i="1" a="1"/>
  <c r="N244" i="1" s="1"/>
  <c r="N245" i="1" a="1"/>
  <c r="N245" i="1"/>
  <c r="N246" i="1" a="1"/>
  <c r="N246" i="1" s="1"/>
  <c r="N247" i="1" a="1"/>
  <c r="N247" i="1" s="1"/>
  <c r="N248" i="1" a="1"/>
  <c r="N248" i="1" s="1"/>
  <c r="N249" i="1" a="1"/>
  <c r="N249" i="1"/>
  <c r="N250" i="1" a="1"/>
  <c r="N250" i="1" s="1"/>
  <c r="N251" i="1" a="1"/>
  <c r="N251" i="1"/>
  <c r="N252" i="1" a="1"/>
  <c r="N252" i="1"/>
  <c r="N253" i="1" a="1"/>
  <c r="N253" i="1" s="1"/>
  <c r="N254" i="1" a="1"/>
  <c r="N254" i="1" s="1"/>
  <c r="N255" i="1" a="1"/>
  <c r="N255" i="1"/>
  <c r="N256" i="1" a="1"/>
  <c r="N256" i="1"/>
  <c r="N257" i="1" a="1"/>
  <c r="N257" i="1"/>
  <c r="N258" i="1" a="1"/>
  <c r="N258" i="1" s="1"/>
  <c r="N259" i="1" a="1"/>
  <c r="N259" i="1"/>
  <c r="N260" i="1" a="1"/>
  <c r="N260" i="1" s="1"/>
  <c r="N261" i="1" a="1"/>
  <c r="N261" i="1" s="1"/>
  <c r="N262" i="1" a="1"/>
  <c r="N262" i="1" s="1"/>
  <c r="N263" i="1" a="1"/>
  <c r="N263" i="1" s="1"/>
  <c r="N264" i="1" a="1"/>
  <c r="N264" i="1"/>
  <c r="N265" i="1" a="1"/>
  <c r="N265" i="1"/>
  <c r="N266" i="1" a="1"/>
  <c r="N266" i="1" s="1"/>
  <c r="N267" i="1" a="1"/>
  <c r="N267" i="1" s="1"/>
  <c r="N268" i="1" a="1"/>
  <c r="N268" i="1" s="1"/>
  <c r="N269" i="1" a="1"/>
  <c r="N269" i="1"/>
  <c r="N270" i="1" a="1"/>
  <c r="N270" i="1" s="1"/>
  <c r="N271" i="1" a="1"/>
  <c r="N271" i="1" s="1"/>
  <c r="N272" i="1" a="1"/>
  <c r="N272" i="1" s="1"/>
  <c r="N273" i="1" a="1"/>
  <c r="N273" i="1" s="1"/>
  <c r="N274" i="1" a="1"/>
  <c r="N274" i="1" s="1"/>
  <c r="N275" i="1" a="1"/>
  <c r="N275" i="1"/>
  <c r="N276" i="1" a="1"/>
  <c r="N276" i="1" s="1"/>
  <c r="N277" i="1" a="1"/>
  <c r="N277" i="1"/>
  <c r="N278" i="1" a="1"/>
  <c r="N278" i="1" s="1"/>
  <c r="N279" i="1" a="1"/>
  <c r="N279" i="1"/>
  <c r="N280" i="1" a="1"/>
  <c r="N280" i="1"/>
  <c r="N281" i="1" a="1"/>
  <c r="N281" i="1"/>
  <c r="N282" i="1" a="1"/>
  <c r="N282" i="1" s="1"/>
  <c r="N283" i="1" a="1"/>
  <c r="N283" i="1" s="1"/>
  <c r="N284" i="1" a="1"/>
  <c r="N284" i="1"/>
  <c r="N285" i="1" a="1"/>
  <c r="N285" i="1" s="1"/>
  <c r="N286" i="1" a="1"/>
  <c r="N286" i="1" s="1"/>
  <c r="N287" i="1" a="1"/>
  <c r="N287" i="1"/>
  <c r="N288" i="1" a="1"/>
  <c r="N288" i="1" s="1"/>
  <c r="N289" i="1" a="1"/>
  <c r="N289" i="1"/>
  <c r="N290" i="1" a="1"/>
  <c r="N290" i="1" s="1"/>
  <c r="N291" i="1" a="1"/>
  <c r="N291" i="1"/>
  <c r="N292" i="1" a="1"/>
  <c r="N292" i="1"/>
  <c r="N293" i="1" a="1"/>
  <c r="N293" i="1" s="1"/>
  <c r="N294" i="1" a="1"/>
  <c r="N294" i="1" s="1"/>
  <c r="N295" i="1" a="1"/>
  <c r="N295" i="1" s="1"/>
  <c r="N296" i="1" a="1"/>
  <c r="N296" i="1"/>
  <c r="N297" i="1" a="1"/>
  <c r="N297" i="1"/>
  <c r="N298" i="1" a="1"/>
  <c r="N298" i="1" s="1"/>
  <c r="N299" i="1" a="1"/>
  <c r="N299" i="1" s="1"/>
  <c r="N300" i="1" a="1"/>
  <c r="N300" i="1" s="1"/>
  <c r="N301" i="1" a="1"/>
  <c r="N301" i="1"/>
  <c r="N302" i="1" a="1"/>
  <c r="N302" i="1" s="1"/>
  <c r="N303" i="1" a="1"/>
  <c r="N303" i="1"/>
  <c r="N304" i="1" a="1"/>
  <c r="N304" i="1" s="1"/>
  <c r="N305" i="1" a="1"/>
  <c r="N305" i="1"/>
  <c r="N306" i="1" a="1"/>
  <c r="N306" i="1" s="1"/>
  <c r="N307" i="1" a="1"/>
  <c r="N307" i="1"/>
  <c r="N308" i="1" a="1"/>
  <c r="N308" i="1" s="1"/>
  <c r="N309" i="1" a="1"/>
  <c r="N309" i="1" s="1"/>
  <c r="N310" i="1" a="1"/>
  <c r="N310" i="1" s="1"/>
  <c r="N311" i="1" a="1"/>
  <c r="N311" i="1"/>
  <c r="N312" i="1" a="1"/>
  <c r="N312" i="1"/>
  <c r="N313" i="1" a="1"/>
  <c r="N313" i="1" s="1"/>
  <c r="N314" i="1" a="1"/>
  <c r="N314" i="1" s="1"/>
  <c r="N315" i="1" a="1"/>
  <c r="N315" i="1"/>
  <c r="N316" i="1" a="1"/>
  <c r="N316" i="1"/>
  <c r="N317" i="1" a="1"/>
  <c r="N317" i="1" s="1"/>
  <c r="N318" i="1" a="1"/>
  <c r="N318" i="1" s="1"/>
  <c r="N319" i="1" a="1"/>
  <c r="N319" i="1"/>
  <c r="N320" i="1" a="1"/>
  <c r="N320" i="1"/>
  <c r="N321" i="1" a="1"/>
  <c r="N321" i="1"/>
  <c r="N322" i="1" a="1"/>
  <c r="N322" i="1" s="1"/>
  <c r="N323" i="1" a="1"/>
  <c r="N323" i="1" s="1"/>
  <c r="N324" i="1" a="1"/>
  <c r="N324" i="1" s="1"/>
  <c r="N325" i="1" a="1"/>
  <c r="N325" i="1" s="1"/>
  <c r="N326" i="1" a="1"/>
  <c r="N326" i="1" s="1"/>
  <c r="N327" i="1" a="1"/>
  <c r="N327" i="1"/>
  <c r="N328" i="1" a="1"/>
  <c r="N328" i="1" s="1"/>
  <c r="N329" i="1" a="1"/>
  <c r="N329" i="1"/>
  <c r="N330" i="1" a="1"/>
  <c r="N330" i="1" s="1"/>
  <c r="N331" i="1" a="1"/>
  <c r="N331" i="1" s="1"/>
  <c r="N332" i="1" a="1"/>
  <c r="N332" i="1"/>
  <c r="N333" i="1" a="1"/>
  <c r="N333" i="1" s="1"/>
  <c r="N334" i="1" a="1"/>
  <c r="N334" i="1" s="1"/>
  <c r="N335" i="1" a="1"/>
  <c r="N335" i="1"/>
  <c r="N336" i="1" a="1"/>
  <c r="N336" i="1" s="1"/>
  <c r="N337" i="1" a="1"/>
  <c r="N337" i="1"/>
  <c r="N338" i="1" a="1"/>
  <c r="N338" i="1" s="1"/>
  <c r="N339" i="1" a="1"/>
  <c r="N339" i="1"/>
  <c r="N340" i="1" a="1"/>
  <c r="N340" i="1" s="1"/>
  <c r="N341" i="1" a="1"/>
  <c r="N341" i="1" s="1"/>
  <c r="N342" i="1" a="1"/>
  <c r="N342" i="1"/>
  <c r="N343" i="1" a="1"/>
  <c r="N343" i="1" s="1"/>
  <c r="N344" i="1" a="1"/>
  <c r="N344" i="1" s="1"/>
  <c r="N345" i="1" a="1"/>
  <c r="N345" i="1"/>
  <c r="N346" i="1" a="1"/>
  <c r="N346" i="1" s="1"/>
  <c r="N347" i="1" a="1"/>
  <c r="N347" i="1"/>
  <c r="N348" i="1" a="1"/>
  <c r="N348" i="1" s="1"/>
  <c r="N349" i="1" a="1"/>
  <c r="N349" i="1"/>
  <c r="N350" i="1" a="1"/>
  <c r="N350" i="1"/>
  <c r="N351" i="1" a="1"/>
  <c r="N351" i="1"/>
  <c r="A14" i="2"/>
  <c r="A15" i="2"/>
  <c r="A16" i="2"/>
  <c r="A13" i="2"/>
  <c r="B13" i="2" a="1"/>
  <c r="B13" i="2" s="1"/>
  <c r="M2" i="1" a="1"/>
  <c r="M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c r="M29" i="1" a="1"/>
  <c r="M29" i="1" s="1"/>
  <c r="M30" i="1" a="1"/>
  <c r="M30" i="1" s="1"/>
  <c r="M31" i="1" a="1"/>
  <c r="M31" i="1" s="1"/>
  <c r="M32" i="1" a="1"/>
  <c r="M32" i="1" s="1"/>
  <c r="M33" i="1" a="1"/>
  <c r="M33" i="1" s="1"/>
  <c r="M34" i="1" a="1"/>
  <c r="M34" i="1" s="1"/>
  <c r="M35" i="1" a="1"/>
  <c r="M35" i="1" s="1"/>
  <c r="M36" i="1" a="1"/>
  <c r="M36" i="1"/>
  <c r="M37" i="1" a="1"/>
  <c r="M37" i="1" s="1"/>
  <c r="M38" i="1" a="1"/>
  <c r="M38" i="1" s="1"/>
  <c r="M39" i="1" a="1"/>
  <c r="M39" i="1" s="1"/>
  <c r="M40" i="1" a="1"/>
  <c r="M40" i="1" s="1"/>
  <c r="M41" i="1" a="1"/>
  <c r="M41" i="1"/>
  <c r="M42" i="1" a="1"/>
  <c r="M42" i="1" s="1"/>
  <c r="M43" i="1" a="1"/>
  <c r="M43" i="1" s="1"/>
  <c r="M44" i="1" a="1"/>
  <c r="M44" i="1" s="1"/>
  <c r="M45" i="1" a="1"/>
  <c r="M45" i="1" s="1"/>
  <c r="M46" i="1" a="1"/>
  <c r="M46" i="1" s="1"/>
  <c r="M47" i="1" a="1"/>
  <c r="M47" i="1" s="1"/>
  <c r="M48" i="1" a="1"/>
  <c r="M48" i="1"/>
  <c r="M49" i="1" a="1"/>
  <c r="M49" i="1"/>
  <c r="M50" i="1" a="1"/>
  <c r="M50" i="1" s="1"/>
  <c r="M51" i="1" a="1"/>
  <c r="M51" i="1" s="1"/>
  <c r="M52" i="1" a="1"/>
  <c r="M52" i="1"/>
  <c r="M53" i="1" a="1"/>
  <c r="M53" i="1"/>
  <c r="M54" i="1" a="1"/>
  <c r="M54" i="1" s="1"/>
  <c r="M55" i="1" a="1"/>
  <c r="M55" i="1" s="1"/>
  <c r="M56" i="1" a="1"/>
  <c r="M56" i="1" s="1"/>
  <c r="M57" i="1" a="1"/>
  <c r="M57" i="1" s="1"/>
  <c r="M58" i="1" a="1"/>
  <c r="M58" i="1" s="1"/>
  <c r="M59" i="1" a="1"/>
  <c r="M59" i="1" s="1"/>
  <c r="M60" i="1" a="1"/>
  <c r="M60" i="1"/>
  <c r="M61" i="1" a="1"/>
  <c r="M61" i="1" s="1"/>
  <c r="M62" i="1" a="1"/>
  <c r="M62" i="1" s="1"/>
  <c r="M63" i="1" a="1"/>
  <c r="M63" i="1" s="1"/>
  <c r="M64" i="1" a="1"/>
  <c r="M64" i="1"/>
  <c r="M65" i="1" a="1"/>
  <c r="M65" i="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c r="M85" i="1" a="1"/>
  <c r="M85" i="1" s="1"/>
  <c r="M86" i="1" a="1"/>
  <c r="M86" i="1" s="1"/>
  <c r="M87" i="1" a="1"/>
  <c r="M87" i="1" s="1"/>
  <c r="M88" i="1" a="1"/>
  <c r="M88" i="1" s="1"/>
  <c r="M89" i="1" a="1"/>
  <c r="M89" i="1"/>
  <c r="M90" i="1" a="1"/>
  <c r="M90" i="1" s="1"/>
  <c r="M91" i="1" a="1"/>
  <c r="M91" i="1" s="1"/>
  <c r="M92" i="1" a="1"/>
  <c r="M92" i="1" s="1"/>
  <c r="M93" i="1" a="1"/>
  <c r="M93" i="1" s="1"/>
  <c r="M94" i="1" a="1"/>
  <c r="M94" i="1" s="1"/>
  <c r="M95" i="1" a="1"/>
  <c r="M95" i="1"/>
  <c r="M96" i="1" a="1"/>
  <c r="M96" i="1" s="1"/>
  <c r="M97" i="1" a="1"/>
  <c r="M97" i="1" s="1"/>
  <c r="M98" i="1" a="1"/>
  <c r="M98" i="1" s="1"/>
  <c r="M99" i="1" a="1"/>
  <c r="M99" i="1" s="1"/>
  <c r="M100" i="1" a="1"/>
  <c r="M100" i="1"/>
  <c r="M101" i="1" a="1"/>
  <c r="M101" i="1" s="1"/>
  <c r="M102" i="1" a="1"/>
  <c r="M102" i="1" s="1"/>
  <c r="M103" i="1" a="1"/>
  <c r="M103" i="1" s="1"/>
  <c r="M104" i="1" a="1"/>
  <c r="M104" i="1" s="1"/>
  <c r="M105" i="1" a="1"/>
  <c r="M105" i="1" s="1"/>
  <c r="M106" i="1" a="1"/>
  <c r="M106" i="1" s="1"/>
  <c r="M107" i="1" a="1"/>
  <c r="M107" i="1" s="1"/>
  <c r="M108" i="1" a="1"/>
  <c r="M108" i="1" s="1"/>
  <c r="M109" i="1" a="1"/>
  <c r="M109" i="1"/>
  <c r="M110" i="1" a="1"/>
  <c r="M110" i="1" s="1"/>
  <c r="M111" i="1" a="1"/>
  <c r="M111" i="1" s="1"/>
  <c r="M112" i="1" a="1"/>
  <c r="M112" i="1" s="1"/>
  <c r="M113" i="1" a="1"/>
  <c r="M113" i="1"/>
  <c r="M114" i="1" a="1"/>
  <c r="M114" i="1" s="1"/>
  <c r="M115" i="1" a="1"/>
  <c r="M115" i="1" s="1"/>
  <c r="M116" i="1" a="1"/>
  <c r="M116" i="1" s="1"/>
  <c r="M117" i="1" a="1"/>
  <c r="M117" i="1" s="1"/>
  <c r="M118" i="1" a="1"/>
  <c r="M118" i="1" s="1"/>
  <c r="M119" i="1" a="1"/>
  <c r="M119" i="1" s="1"/>
  <c r="M120" i="1" a="1"/>
  <c r="M120" i="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c r="M134" i="1" a="1"/>
  <c r="M134" i="1" s="1"/>
  <c r="M135" i="1" a="1"/>
  <c r="M135" i="1" s="1"/>
  <c r="M136" i="1" a="1"/>
  <c r="M136" i="1" s="1"/>
  <c r="M137" i="1" a="1"/>
  <c r="M137" i="1" s="1"/>
  <c r="M138" i="1" a="1"/>
  <c r="M138" i="1" s="1"/>
  <c r="M139" i="1" a="1"/>
  <c r="M139" i="1" s="1"/>
  <c r="M140" i="1" a="1"/>
  <c r="M140" i="1" s="1"/>
  <c r="M141" i="1" a="1"/>
  <c r="M141" i="1" s="1"/>
  <c r="M142" i="1" a="1"/>
  <c r="M142" i="1" s="1"/>
  <c r="M143" i="1" a="1"/>
  <c r="M143" i="1"/>
  <c r="M144" i="1" a="1"/>
  <c r="M144" i="1" s="1"/>
  <c r="M145" i="1" a="1"/>
  <c r="M145" i="1" s="1"/>
  <c r="M146" i="1" a="1"/>
  <c r="M146" i="1" s="1"/>
  <c r="M147" i="1" a="1"/>
  <c r="M147" i="1" s="1"/>
  <c r="M148" i="1" a="1"/>
  <c r="M148" i="1" s="1"/>
  <c r="M149" i="1" a="1"/>
  <c r="M149" i="1" s="1"/>
  <c r="M150" i="1" a="1"/>
  <c r="M150" i="1" s="1"/>
  <c r="M151" i="1" a="1"/>
  <c r="M151" i="1" s="1"/>
  <c r="M152" i="1" a="1"/>
  <c r="M152" i="1"/>
  <c r="M153" i="1" a="1"/>
  <c r="M153" i="1" s="1"/>
  <c r="M154" i="1" a="1"/>
  <c r="M154" i="1" s="1"/>
  <c r="M155" i="1" a="1"/>
  <c r="M155" i="1" s="1"/>
  <c r="M156" i="1" a="1"/>
  <c r="M156" i="1" s="1"/>
  <c r="M157" i="1" a="1"/>
  <c r="M157" i="1"/>
  <c r="M158" i="1" a="1"/>
  <c r="M158" i="1" s="1"/>
  <c r="M159" i="1" a="1"/>
  <c r="M159" i="1" s="1"/>
  <c r="M160" i="1" a="1"/>
  <c r="M160" i="1" s="1"/>
  <c r="M161" i="1" a="1"/>
  <c r="M161" i="1" s="1"/>
  <c r="M162" i="1" a="1"/>
  <c r="M162" i="1" s="1"/>
  <c r="M163" i="1" a="1"/>
  <c r="M163" i="1"/>
  <c r="M164" i="1" a="1"/>
  <c r="M164" i="1" s="1"/>
  <c r="M165" i="1" a="1"/>
  <c r="M165" i="1"/>
  <c r="M166" i="1" a="1"/>
  <c r="M166" i="1" s="1"/>
  <c r="M167" i="1" a="1"/>
  <c r="M167" i="1" s="1"/>
  <c r="M168" i="1" a="1"/>
  <c r="M168" i="1"/>
  <c r="M169" i="1" a="1"/>
  <c r="M169" i="1" s="1"/>
  <c r="M170" i="1" a="1"/>
  <c r="M170" i="1" s="1"/>
  <c r="M171" i="1" a="1"/>
  <c r="M171" i="1" s="1"/>
  <c r="M172" i="1" a="1"/>
  <c r="M172" i="1" s="1"/>
  <c r="M173" i="1" a="1"/>
  <c r="M173" i="1" s="1"/>
  <c r="M174" i="1" a="1"/>
  <c r="M174" i="1" s="1"/>
  <c r="M175" i="1" a="1"/>
  <c r="M175" i="1"/>
  <c r="M176" i="1" a="1"/>
  <c r="M176" i="1" s="1"/>
  <c r="M177" i="1" a="1"/>
  <c r="M177" i="1" s="1"/>
  <c r="M178" i="1" a="1"/>
  <c r="M178" i="1" s="1"/>
  <c r="M179" i="1" a="1"/>
  <c r="M179" i="1" s="1"/>
  <c r="M180" i="1" a="1"/>
  <c r="M180" i="1" s="1"/>
  <c r="M181" i="1" a="1"/>
  <c r="M181" i="1"/>
  <c r="M182" i="1" a="1"/>
  <c r="M182" i="1" s="1"/>
  <c r="M183" i="1" a="1"/>
  <c r="M183" i="1" s="1"/>
  <c r="M184" i="1" a="1"/>
  <c r="M184" i="1" s="1"/>
  <c r="M185" i="1" a="1"/>
  <c r="M185" i="1" s="1"/>
  <c r="M186" i="1" a="1"/>
  <c r="M186" i="1" s="1"/>
  <c r="M187" i="1" a="1"/>
  <c r="M187" i="1" s="1"/>
  <c r="M188" i="1" a="1"/>
  <c r="M188" i="1" s="1"/>
  <c r="M189" i="1" a="1"/>
  <c r="M189" i="1" s="1"/>
  <c r="M190" i="1" a="1"/>
  <c r="M190" i="1" s="1"/>
  <c r="M191" i="1" a="1"/>
  <c r="M191" i="1"/>
  <c r="M192" i="1" a="1"/>
  <c r="M192" i="1" s="1"/>
  <c r="M193" i="1" a="1"/>
  <c r="M193" i="1" s="1"/>
  <c r="M194" i="1" a="1"/>
  <c r="M194" i="1" s="1"/>
  <c r="M195" i="1" a="1"/>
  <c r="M195" i="1" s="1"/>
  <c r="M196" i="1" a="1"/>
  <c r="M196" i="1" s="1"/>
  <c r="M197" i="1" a="1"/>
  <c r="M197" i="1"/>
  <c r="M198" i="1" a="1"/>
  <c r="M198" i="1" s="1"/>
  <c r="M199" i="1" a="1"/>
  <c r="M199" i="1" s="1"/>
  <c r="M200" i="1" a="1"/>
  <c r="M200" i="1" s="1"/>
  <c r="M201" i="1" a="1"/>
  <c r="M201" i="1" s="1"/>
  <c r="M202" i="1" a="1"/>
  <c r="M202" i="1" s="1"/>
  <c r="M203" i="1" a="1"/>
  <c r="M203" i="1"/>
  <c r="M204" i="1" a="1"/>
  <c r="M204" i="1"/>
  <c r="M205" i="1" a="1"/>
  <c r="M205" i="1" s="1"/>
  <c r="M206" i="1" a="1"/>
  <c r="M206" i="1" s="1"/>
  <c r="M207" i="1" a="1"/>
  <c r="M207" i="1"/>
  <c r="M208" i="1" a="1"/>
  <c r="M208" i="1" s="1"/>
  <c r="M209" i="1" a="1"/>
  <c r="M209" i="1" s="1"/>
  <c r="M210" i="1" a="1"/>
  <c r="M210" i="1" s="1"/>
  <c r="M211" i="1" a="1"/>
  <c r="M211" i="1" s="1"/>
  <c r="M212" i="1" a="1"/>
  <c r="M212" i="1" s="1"/>
  <c r="M213" i="1" a="1"/>
  <c r="M213" i="1" s="1"/>
  <c r="M214" i="1" a="1"/>
  <c r="M214" i="1" s="1"/>
  <c r="M215" i="1" a="1"/>
  <c r="M215" i="1" s="1"/>
  <c r="M216" i="1" a="1"/>
  <c r="M216" i="1" s="1"/>
  <c r="M217" i="1" a="1"/>
  <c r="M217" i="1"/>
  <c r="M218" i="1" a="1"/>
  <c r="M218" i="1" s="1"/>
  <c r="M219" i="1" a="1"/>
  <c r="M219" i="1" s="1"/>
  <c r="M220" i="1" a="1"/>
  <c r="M220" i="1"/>
  <c r="M221" i="1" a="1"/>
  <c r="M221" i="1" s="1"/>
  <c r="M222" i="1" a="1"/>
  <c r="M222" i="1" s="1"/>
  <c r="M223" i="1" a="1"/>
  <c r="M223" i="1"/>
  <c r="M224" i="1" a="1"/>
  <c r="M224" i="1" s="1"/>
  <c r="M225" i="1" a="1"/>
  <c r="M225" i="1" s="1"/>
  <c r="M226" i="1" a="1"/>
  <c r="M226" i="1" s="1"/>
  <c r="M227" i="1" a="1"/>
  <c r="M227" i="1" s="1"/>
  <c r="M228" i="1" a="1"/>
  <c r="M228" i="1"/>
  <c r="M229" i="1" a="1"/>
  <c r="M229" i="1" s="1"/>
  <c r="M230" i="1" a="1"/>
  <c r="M230" i="1" s="1"/>
  <c r="M231" i="1" a="1"/>
  <c r="M231" i="1" s="1"/>
  <c r="M232" i="1" a="1"/>
  <c r="M232" i="1" s="1"/>
  <c r="M233" i="1" a="1"/>
  <c r="M233" i="1" s="1"/>
  <c r="M234" i="1" a="1"/>
  <c r="M234" i="1" s="1"/>
  <c r="M235" i="1" a="1"/>
  <c r="M235" i="1"/>
  <c r="M236" i="1" a="1"/>
  <c r="M236" i="1" s="1"/>
  <c r="M237" i="1" a="1"/>
  <c r="M237" i="1" s="1"/>
  <c r="M238" i="1" a="1"/>
  <c r="M238" i="1" s="1"/>
  <c r="M239" i="1" a="1"/>
  <c r="M239" i="1"/>
  <c r="M240" i="1" a="1"/>
  <c r="M240" i="1"/>
  <c r="M241" i="1" a="1"/>
  <c r="M241" i="1" s="1"/>
  <c r="M242" i="1" a="1"/>
  <c r="M242" i="1" s="1"/>
  <c r="M243" i="1" a="1"/>
  <c r="M243" i="1" s="1"/>
  <c r="M244" i="1" a="1"/>
  <c r="M244" i="1" s="1"/>
  <c r="M245" i="1" a="1"/>
  <c r="M245" i="1"/>
  <c r="M246" i="1" a="1"/>
  <c r="M246" i="1" s="1"/>
  <c r="M247" i="1" a="1"/>
  <c r="M247" i="1" s="1"/>
  <c r="M248" i="1" a="1"/>
  <c r="M248" i="1" s="1"/>
  <c r="M249" i="1" a="1"/>
  <c r="M249" i="1" s="1"/>
  <c r="M250" i="1" a="1"/>
  <c r="M250" i="1" s="1"/>
  <c r="M251" i="1" a="1"/>
  <c r="M251" i="1" s="1"/>
  <c r="M252" i="1" a="1"/>
  <c r="M252" i="1" s="1"/>
  <c r="M253" i="1" a="1"/>
  <c r="M253" i="1"/>
  <c r="M254" i="1" a="1"/>
  <c r="M254" i="1" s="1"/>
  <c r="M255" i="1" a="1"/>
  <c r="M255" i="1" s="1"/>
  <c r="M256" i="1" a="1"/>
  <c r="M256" i="1" s="1"/>
  <c r="M257" i="1" a="1"/>
  <c r="M257" i="1" s="1"/>
  <c r="M258" i="1" a="1"/>
  <c r="M258" i="1" s="1"/>
  <c r="M259" i="1" a="1"/>
  <c r="M259" i="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c r="M276" i="1" a="1"/>
  <c r="M276" i="1"/>
  <c r="M277" i="1" a="1"/>
  <c r="M277" i="1" s="1"/>
  <c r="M278" i="1" a="1"/>
  <c r="M278" i="1" s="1"/>
  <c r="M279" i="1" a="1"/>
  <c r="M279" i="1" s="1"/>
  <c r="M280" i="1" a="1"/>
  <c r="M280" i="1" s="1"/>
  <c r="M281" i="1" a="1"/>
  <c r="M281" i="1"/>
  <c r="M282" i="1" a="1"/>
  <c r="M282" i="1" s="1"/>
  <c r="M283" i="1" a="1"/>
  <c r="M283" i="1" s="1"/>
  <c r="M284" i="1" a="1"/>
  <c r="M284" i="1" s="1"/>
  <c r="M285" i="1" a="1"/>
  <c r="M285" i="1" s="1"/>
  <c r="M286" i="1" a="1"/>
  <c r="M286" i="1" s="1"/>
  <c r="M287" i="1" a="1"/>
  <c r="M287" i="1"/>
  <c r="M288" i="1" a="1"/>
  <c r="M288" i="1" s="1"/>
  <c r="M289" i="1" a="1"/>
  <c r="M289" i="1"/>
  <c r="M290" i="1" a="1"/>
  <c r="M290" i="1" s="1"/>
  <c r="M291" i="1" a="1"/>
  <c r="M291" i="1"/>
  <c r="M292" i="1" a="1"/>
  <c r="M292" i="1"/>
  <c r="M293" i="1" a="1"/>
  <c r="M293" i="1" s="1"/>
  <c r="M294" i="1" a="1"/>
  <c r="M294" i="1" s="1"/>
  <c r="M295" i="1" a="1"/>
  <c r="M295" i="1" s="1"/>
  <c r="M296" i="1" a="1"/>
  <c r="M296" i="1" s="1"/>
  <c r="M297" i="1" a="1"/>
  <c r="M297" i="1" s="1"/>
  <c r="M298" i="1" a="1"/>
  <c r="M298" i="1" s="1"/>
  <c r="M299" i="1" a="1"/>
  <c r="M299" i="1"/>
  <c r="M300" i="1" a="1"/>
  <c r="M300" i="1" s="1"/>
  <c r="M301" i="1" a="1"/>
  <c r="M301" i="1" s="1"/>
  <c r="M302" i="1" a="1"/>
  <c r="M302" i="1" s="1"/>
  <c r="M303" i="1" a="1"/>
  <c r="M303" i="1" s="1"/>
  <c r="M304" i="1" a="1"/>
  <c r="M304" i="1"/>
  <c r="M305" i="1" a="1"/>
  <c r="M305" i="1" s="1"/>
  <c r="M306" i="1" a="1"/>
  <c r="M306" i="1" s="1"/>
  <c r="M307" i="1" a="1"/>
  <c r="M307" i="1" s="1"/>
  <c r="M308" i="1" a="1"/>
  <c r="M308" i="1" s="1"/>
  <c r="M309" i="1" a="1"/>
  <c r="M309" i="1" s="1"/>
  <c r="M310" i="1" a="1"/>
  <c r="M310" i="1" s="1"/>
  <c r="M311" i="1" a="1"/>
  <c r="M311" i="1" s="1"/>
  <c r="M312" i="1" a="1"/>
  <c r="M312" i="1" s="1"/>
  <c r="M313" i="1" a="1"/>
  <c r="M313" i="1"/>
  <c r="M314" i="1" a="1"/>
  <c r="M314" i="1" s="1"/>
  <c r="M315" i="1" a="1"/>
  <c r="M315" i="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c r="M332" i="1" a="1"/>
  <c r="M332" i="1" s="1"/>
  <c r="M333" i="1" a="1"/>
  <c r="M333" i="1" s="1"/>
  <c r="M334" i="1" a="1"/>
  <c r="M334" i="1" s="1"/>
  <c r="M335" i="1" a="1"/>
  <c r="M335" i="1" s="1"/>
  <c r="M336" i="1" a="1"/>
  <c r="M336" i="1"/>
  <c r="M337" i="1" a="1"/>
  <c r="M337" i="1" s="1"/>
  <c r="M338" i="1" a="1"/>
  <c r="M338" i="1" s="1"/>
  <c r="M339" i="1" a="1"/>
  <c r="M339" i="1" s="1"/>
  <c r="M340" i="1" a="1"/>
  <c r="M340" i="1" s="1"/>
  <c r="M341" i="1" a="1"/>
  <c r="M341" i="1"/>
  <c r="M342" i="1" a="1"/>
  <c r="M342" i="1"/>
  <c r="M343" i="1" a="1"/>
  <c r="M343" i="1"/>
  <c r="M344" i="1" a="1"/>
  <c r="M344" i="1" s="1"/>
  <c r="M345" i="1" a="1"/>
  <c r="M345" i="1"/>
  <c r="M346" i="1" a="1"/>
  <c r="M346" i="1" s="1"/>
  <c r="M347" i="1" a="1"/>
  <c r="M347" i="1"/>
  <c r="M348" i="1" a="1"/>
  <c r="M348" i="1" s="1"/>
  <c r="M349" i="1" a="1"/>
  <c r="M349" i="1" s="1"/>
  <c r="M350" i="1" a="1"/>
  <c r="M350" i="1"/>
  <c r="M351" i="1" a="1"/>
  <c r="M351" i="1" s="1"/>
  <c r="L2" i="1" a="1"/>
  <c r="L2" i="1" s="1"/>
  <c r="L3" i="1" a="1"/>
  <c r="L3" i="1" s="1"/>
  <c r="L4" i="1" a="1"/>
  <c r="L4" i="1" s="1"/>
  <c r="L5" i="1" a="1"/>
  <c r="L5" i="1" s="1"/>
  <c r="L6" i="1" a="1"/>
  <c r="L6" i="1" s="1"/>
  <c r="L7" i="1" a="1"/>
  <c r="L7" i="1"/>
  <c r="L8" i="1" a="1"/>
  <c r="L8" i="1" s="1"/>
  <c r="L9" i="1" a="1"/>
  <c r="L9" i="1" s="1"/>
  <c r="L10" i="1" a="1"/>
  <c r="L10" i="1" s="1"/>
  <c r="L11" i="1" a="1"/>
  <c r="L11" i="1" s="1"/>
  <c r="L12" i="1" a="1"/>
  <c r="L12" i="1"/>
  <c r="L13" i="1" a="1"/>
  <c r="L13" i="1"/>
  <c r="L14" i="1" a="1"/>
  <c r="L14" i="1" s="1"/>
  <c r="L15" i="1" a="1"/>
  <c r="L15" i="1"/>
  <c r="L16" i="1" a="1"/>
  <c r="L16" i="1" s="1"/>
  <c r="L17" i="1" a="1"/>
  <c r="L17" i="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c r="L33" i="1" a="1"/>
  <c r="L33" i="1" s="1"/>
  <c r="L34" i="1" a="1"/>
  <c r="L34" i="1" s="1"/>
  <c r="L35" i="1" a="1"/>
  <c r="L35" i="1" s="1"/>
  <c r="L36" i="1" a="1"/>
  <c r="L36" i="1" s="1"/>
  <c r="L37" i="1" a="1"/>
  <c r="L37" i="1" s="1"/>
  <c r="L38" i="1" a="1"/>
  <c r="L38" i="1" s="1"/>
  <c r="L39" i="1" a="1"/>
  <c r="L39" i="1"/>
  <c r="L40" i="1" a="1"/>
  <c r="L40" i="1" s="1"/>
  <c r="L41" i="1" a="1"/>
  <c r="L41" i="1" s="1"/>
  <c r="L42" i="1" a="1"/>
  <c r="L42" i="1" s="1"/>
  <c r="L43" i="1" a="1"/>
  <c r="L43" i="1" s="1"/>
  <c r="L44" i="1" a="1"/>
  <c r="L44" i="1" s="1"/>
  <c r="L45" i="1" a="1"/>
  <c r="L45" i="1" s="1"/>
  <c r="L46" i="1" a="1"/>
  <c r="L46" i="1" s="1"/>
  <c r="L47" i="1" a="1"/>
  <c r="L47" i="1" s="1"/>
  <c r="L48" i="1" a="1"/>
  <c r="L48" i="1"/>
  <c r="L49" i="1" a="1"/>
  <c r="L49" i="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c r="L65" i="1" a="1"/>
  <c r="L65" i="1" s="1"/>
  <c r="L66" i="1" a="1"/>
  <c r="L66" i="1" s="1"/>
  <c r="L67" i="1" a="1"/>
  <c r="L67" i="1" s="1"/>
  <c r="L68" i="1" a="1"/>
  <c r="L68" i="1" s="1"/>
  <c r="L69" i="1" a="1"/>
  <c r="L69" i="1" s="1"/>
  <c r="L70" i="1" a="1"/>
  <c r="L70" i="1" s="1"/>
  <c r="L71" i="1" a="1"/>
  <c r="L71" i="1" s="1"/>
  <c r="L72" i="1" a="1"/>
  <c r="L72" i="1"/>
  <c r="L73" i="1" a="1"/>
  <c r="L73" i="1" s="1"/>
  <c r="L74" i="1" a="1"/>
  <c r="L74" i="1" s="1"/>
  <c r="L75" i="1" a="1"/>
  <c r="L75" i="1" s="1"/>
  <c r="L76" i="1" a="1"/>
  <c r="L76" i="1" s="1"/>
  <c r="L77" i="1" a="1"/>
  <c r="L77" i="1" s="1"/>
  <c r="L78" i="1" a="1"/>
  <c r="L78" i="1" s="1"/>
  <c r="L79" i="1" a="1"/>
  <c r="L79" i="1" s="1"/>
  <c r="L80" i="1" a="1"/>
  <c r="L80" i="1"/>
  <c r="L81" i="1" a="1"/>
  <c r="L81" i="1" s="1"/>
  <c r="L82" i="1" a="1"/>
  <c r="L82" i="1" s="1"/>
  <c r="L83" i="1" a="1"/>
  <c r="L83" i="1" s="1"/>
  <c r="L84" i="1" a="1"/>
  <c r="L84" i="1" s="1"/>
  <c r="L85" i="1" a="1"/>
  <c r="L85" i="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c r="L98" i="1" a="1"/>
  <c r="L98" i="1" s="1"/>
  <c r="L99" i="1" a="1"/>
  <c r="L99" i="1"/>
  <c r="L100" i="1" a="1"/>
  <c r="L100" i="1" s="1"/>
  <c r="L101" i="1" a="1"/>
  <c r="L101" i="1" s="1"/>
  <c r="L102" i="1" a="1"/>
  <c r="L102" i="1" s="1"/>
  <c r="L103" i="1" a="1"/>
  <c r="L103" i="1"/>
  <c r="L104" i="1" a="1"/>
  <c r="L104" i="1"/>
  <c r="L105" i="1" a="1"/>
  <c r="L105" i="1" s="1"/>
  <c r="L106" i="1" a="1"/>
  <c r="L106" i="1" s="1"/>
  <c r="L107" i="1" a="1"/>
  <c r="L107" i="1" s="1"/>
  <c r="L108" i="1" a="1"/>
  <c r="L108" i="1"/>
  <c r="L109" i="1" a="1"/>
  <c r="L109" i="1"/>
  <c r="L110" i="1" a="1"/>
  <c r="L110" i="1" s="1"/>
  <c r="L111" i="1" a="1"/>
  <c r="L111" i="1"/>
  <c r="L112" i="1" a="1"/>
  <c r="L112" i="1" s="1"/>
  <c r="L113" i="1" a="1"/>
  <c r="L113" i="1"/>
  <c r="L114" i="1" a="1"/>
  <c r="L114" i="1" s="1"/>
  <c r="L115" i="1" a="1"/>
  <c r="L115" i="1" s="1"/>
  <c r="L116" i="1" a="1"/>
  <c r="L116" i="1" s="1"/>
  <c r="L117" i="1" a="1"/>
  <c r="L117" i="1" s="1"/>
  <c r="L118" i="1" a="1"/>
  <c r="L118" i="1" s="1"/>
  <c r="L119" i="1" a="1"/>
  <c r="L119" i="1" s="1"/>
  <c r="L120" i="1" a="1"/>
  <c r="L120" i="1"/>
  <c r="L121" i="1" a="1"/>
  <c r="L121" i="1" s="1"/>
  <c r="L122" i="1" a="1"/>
  <c r="L122" i="1" s="1"/>
  <c r="L123" i="1" a="1"/>
  <c r="L123" i="1" s="1"/>
  <c r="L124" i="1" a="1"/>
  <c r="L124" i="1" s="1"/>
  <c r="L125" i="1" a="1"/>
  <c r="L125" i="1" s="1"/>
  <c r="L126" i="1" a="1"/>
  <c r="L126" i="1" s="1"/>
  <c r="L127" i="1" a="1"/>
  <c r="L127" i="1" s="1"/>
  <c r="L128" i="1" a="1"/>
  <c r="L128" i="1"/>
  <c r="L129" i="1" a="1"/>
  <c r="L129" i="1" s="1"/>
  <c r="L130" i="1" a="1"/>
  <c r="L130" i="1" s="1"/>
  <c r="L131" i="1" a="1"/>
  <c r="L131" i="1" s="1"/>
  <c r="L132" i="1" a="1"/>
  <c r="L132" i="1" s="1"/>
  <c r="L133" i="1" a="1"/>
  <c r="L133" i="1" s="1"/>
  <c r="L134" i="1" a="1"/>
  <c r="L134" i="1" s="1"/>
  <c r="L135" i="1" a="1"/>
  <c r="L135" i="1"/>
  <c r="L136" i="1" a="1"/>
  <c r="L136" i="1" s="1"/>
  <c r="L137" i="1" a="1"/>
  <c r="L137" i="1" s="1"/>
  <c r="L138" i="1" a="1"/>
  <c r="L138" i="1" s="1"/>
  <c r="L139" i="1" a="1"/>
  <c r="L139" i="1" s="1"/>
  <c r="L140" i="1" a="1"/>
  <c r="L140" i="1" s="1"/>
  <c r="L141" i="1" a="1"/>
  <c r="L141" i="1" s="1"/>
  <c r="L142" i="1" a="1"/>
  <c r="L142" i="1" s="1"/>
  <c r="L143" i="1" a="1"/>
  <c r="L143" i="1" s="1"/>
  <c r="L144" i="1" a="1"/>
  <c r="L144" i="1"/>
  <c r="L145" i="1" a="1"/>
  <c r="L145" i="1" s="1"/>
  <c r="L146" i="1" a="1"/>
  <c r="L146" i="1" s="1"/>
  <c r="L147" i="1" a="1"/>
  <c r="L147" i="1" s="1"/>
  <c r="L148" i="1" a="1"/>
  <c r="L148" i="1" s="1"/>
  <c r="L149" i="1" a="1"/>
  <c r="L149" i="1"/>
  <c r="L150" i="1" a="1"/>
  <c r="L150" i="1" s="1"/>
  <c r="L151" i="1" a="1"/>
  <c r="L151" i="1" s="1"/>
  <c r="L152" i="1" a="1"/>
  <c r="L152" i="1" s="1"/>
  <c r="L153" i="1" a="1"/>
  <c r="L153" i="1" s="1"/>
  <c r="L154" i="1" a="1"/>
  <c r="L154" i="1" s="1"/>
  <c r="L155" i="1" a="1"/>
  <c r="L155" i="1"/>
  <c r="L156" i="1" a="1"/>
  <c r="L156" i="1" s="1"/>
  <c r="L157" i="1" a="1"/>
  <c r="L157" i="1" s="1"/>
  <c r="L158" i="1" a="1"/>
  <c r="L158" i="1" s="1"/>
  <c r="L159" i="1" a="1"/>
  <c r="L159" i="1" s="1"/>
  <c r="L160" i="1" a="1"/>
  <c r="L160" i="1" s="1"/>
  <c r="L161" i="1" a="1"/>
  <c r="L161" i="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c r="L177" i="1" a="1"/>
  <c r="L177" i="1" s="1"/>
  <c r="L178" i="1" a="1"/>
  <c r="L178" i="1" s="1"/>
  <c r="L179" i="1" a="1"/>
  <c r="L179" i="1" s="1"/>
  <c r="L180" i="1" a="1"/>
  <c r="L180" i="1" s="1"/>
  <c r="L181" i="1" a="1"/>
  <c r="L181" i="1" s="1"/>
  <c r="L182" i="1" a="1"/>
  <c r="L182" i="1" s="1"/>
  <c r="L183" i="1" a="1"/>
  <c r="L183" i="1"/>
  <c r="L184" i="1" a="1"/>
  <c r="L184" i="1" s="1"/>
  <c r="L185" i="1" a="1"/>
  <c r="L185" i="1" s="1"/>
  <c r="L186" i="1" a="1"/>
  <c r="L186" i="1" s="1"/>
  <c r="L187" i="1" a="1"/>
  <c r="L187" i="1" s="1"/>
  <c r="L188" i="1" a="1"/>
  <c r="L188" i="1" s="1"/>
  <c r="L189" i="1" a="1"/>
  <c r="L189" i="1" s="1"/>
  <c r="L190" i="1" a="1"/>
  <c r="L190" i="1" s="1"/>
  <c r="L191" i="1" a="1"/>
  <c r="L191" i="1" s="1"/>
  <c r="L192" i="1" a="1"/>
  <c r="L192" i="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c r="L206" i="1" a="1"/>
  <c r="L206" i="1" s="1"/>
  <c r="L207" i="1" a="1"/>
  <c r="L207" i="1" s="1"/>
  <c r="L208" i="1" a="1"/>
  <c r="L208" i="1" s="1"/>
  <c r="L209" i="1" a="1"/>
  <c r="L209" i="1"/>
  <c r="L210" i="1" a="1"/>
  <c r="L210" i="1" s="1"/>
  <c r="L211" i="1" a="1"/>
  <c r="L211" i="1" s="1"/>
  <c r="L212" i="1" a="1"/>
  <c r="L212" i="1" s="1"/>
  <c r="L213" i="1" a="1"/>
  <c r="L213" i="1" s="1"/>
  <c r="L214" i="1" a="1"/>
  <c r="L214" i="1" s="1"/>
  <c r="L215" i="1" a="1"/>
  <c r="L215" i="1" s="1"/>
  <c r="L216" i="1" a="1"/>
  <c r="L216" i="1"/>
  <c r="L217" i="1" a="1"/>
  <c r="L217" i="1" s="1"/>
  <c r="L218" i="1" a="1"/>
  <c r="L218" i="1" s="1"/>
  <c r="L219" i="1" a="1"/>
  <c r="L219" i="1" s="1"/>
  <c r="L220" i="1" a="1"/>
  <c r="L220" i="1" s="1"/>
  <c r="L221" i="1" a="1"/>
  <c r="L221" i="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c r="L233" i="1" a="1"/>
  <c r="L233" i="1" s="1"/>
  <c r="L234" i="1" a="1"/>
  <c r="L234" i="1" s="1"/>
  <c r="L235" i="1" a="1"/>
  <c r="L235" i="1"/>
  <c r="L236" i="1" a="1"/>
  <c r="L236" i="1" s="1"/>
  <c r="L237" i="1" a="1"/>
  <c r="L237" i="1" s="1"/>
  <c r="L238" i="1" a="1"/>
  <c r="L238" i="1" s="1"/>
  <c r="L239" i="1" a="1"/>
  <c r="L239" i="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c r="L256" i="1" a="1"/>
  <c r="L256" i="1"/>
  <c r="L257" i="1" a="1"/>
  <c r="L257" i="1" s="1"/>
  <c r="L258" i="1" a="1"/>
  <c r="L258" i="1" s="1"/>
  <c r="L259" i="1" a="1"/>
  <c r="L259" i="1" s="1"/>
  <c r="L260" i="1" a="1"/>
  <c r="L260" i="1" s="1"/>
  <c r="L261" i="1" a="1"/>
  <c r="L261" i="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H19" i="9" l="1"/>
  <c r="H21" i="9" s="1"/>
  <c r="E19" i="9"/>
  <c r="E21" i="9" s="1"/>
  <c r="K19" i="9"/>
  <c r="K21" i="9" s="1"/>
  <c r="C18" i="7"/>
  <c r="C1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<sst xmlns="http://schemas.openxmlformats.org/spreadsheetml/2006/main" count="1497" uniqueCount="61">
  <si>
    <t>Customer ID</t>
  </si>
  <si>
    <t>Gender</t>
  </si>
  <si>
    <t>Age</t>
  </si>
  <si>
    <t>City</t>
  </si>
  <si>
    <t>Membership Type</t>
  </si>
  <si>
    <t>Total Spend</t>
  </si>
  <si>
    <t>Items Purchased</t>
  </si>
  <si>
    <t>Average Rating</t>
  </si>
  <si>
    <t>Discount Applied</t>
  </si>
  <si>
    <t>Days Since Last Purchase</t>
  </si>
  <si>
    <t>Satisfaction Level</t>
  </si>
  <si>
    <t>Female</t>
  </si>
  <si>
    <t>New York</t>
  </si>
  <si>
    <t>Gold</t>
  </si>
  <si>
    <t>Satisfied</t>
  </si>
  <si>
    <t>Male</t>
  </si>
  <si>
    <t>Los Angeles</t>
  </si>
  <si>
    <t>Silver</t>
  </si>
  <si>
    <t>Neutral</t>
  </si>
  <si>
    <t>Chicago</t>
  </si>
  <si>
    <t>Bronze</t>
  </si>
  <si>
    <t>Unsatisfied</t>
  </si>
  <si>
    <t>San Francisco</t>
  </si>
  <si>
    <t>Miami</t>
  </si>
  <si>
    <t>Houston</t>
  </si>
  <si>
    <t>No Response</t>
  </si>
  <si>
    <t>Discount Applied  (Yes/No)</t>
  </si>
  <si>
    <t>Age Group</t>
  </si>
  <si>
    <t>Row Labels</t>
  </si>
  <si>
    <t>24-29</t>
  </si>
  <si>
    <t>30-35</t>
  </si>
  <si>
    <t>36-41</t>
  </si>
  <si>
    <t>Over 41</t>
  </si>
  <si>
    <t>Grand Total</t>
  </si>
  <si>
    <t>Column Labels</t>
  </si>
  <si>
    <t>Count of Customer ID</t>
  </si>
  <si>
    <t>Sum of Items Purchased</t>
  </si>
  <si>
    <t>Sum of Total Spend</t>
  </si>
  <si>
    <t>Female Items Purchased</t>
  </si>
  <si>
    <t>Male Items Purchased</t>
  </si>
  <si>
    <t>Avg Rating</t>
  </si>
  <si>
    <t>Being Active</t>
  </si>
  <si>
    <t>Active</t>
  </si>
  <si>
    <t>Inactive</t>
  </si>
  <si>
    <t>Moderately Active</t>
  </si>
  <si>
    <t>Customer Satisfaction Score</t>
  </si>
  <si>
    <t>Value</t>
  </si>
  <si>
    <t>Range</t>
  </si>
  <si>
    <t>Min Value</t>
  </si>
  <si>
    <t>Poor</t>
  </si>
  <si>
    <t>Average</t>
  </si>
  <si>
    <t xml:space="preserve">Good </t>
  </si>
  <si>
    <t>Max Value</t>
  </si>
  <si>
    <t>Score</t>
  </si>
  <si>
    <t>Thinkess</t>
  </si>
  <si>
    <t>Leftover</t>
  </si>
  <si>
    <t>Satisfaction Score</t>
  </si>
  <si>
    <t>Average of Satisfaction Score</t>
  </si>
  <si>
    <t>No</t>
  </si>
  <si>
    <t>Yes</t>
  </si>
  <si>
    <t>E-COMMERCE CUSTOMER BEHAVIOR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</si>
</sst>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_(&quot;$&quot;* \(#,##0\);_(&quot;$&quot;* &quot;-&quot;_);_(@_)"/>
    <numFmt numFmtId="44" formatCode="_(&quot;$&quot;* #,##0.00_);_(&quot;$&quot;* \(#,##0.00\);_(&quot;$&quot;* &quot;-&quot;??_);_(@_)"/>
    <numFmt numFmtId="164" formatCode="&quot;$&quot;#,##0"/>
    <numFmt numFmtId="165" formatCode="&quot;$&quot;#,##0;[Red]&quot;$&quot;#,##0"/>
    <numFmt numFmtId="166" formatCode="_(&quot;$&quot;* #,##0_);_(&quot;$&quot;* \(#,##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6"/>
      <color rgb="FFF7FFFF"/>
      <name val="Aptos Display"/>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3E5F44"/>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42" applyNumberFormat="1" applyFont="1"/>
    <xf numFmtId="42" fontId="0" fillId="0" borderId="0" xfId="0" applyNumberFormat="1"/>
    <xf numFmtId="9" fontId="0" fillId="0" borderId="0" xfId="43" applyFont="1"/>
    <xf numFmtId="9" fontId="0" fillId="0" borderId="0" xfId="0" applyNumberFormat="1"/>
    <xf numFmtId="0" fontId="0" fillId="0" borderId="10" xfId="0" applyBorder="1"/>
    <xf numFmtId="9" fontId="0" fillId="0" borderId="10" xfId="0" applyNumberFormat="1" applyBorder="1"/>
    <xf numFmtId="0" fontId="0" fillId="33" borderId="10" xfId="0" applyFill="1" applyBorder="1"/>
    <xf numFmtId="9" fontId="0" fillId="0" borderId="10" xfId="43" applyFont="1" applyBorder="1"/>
    <xf numFmtId="2" fontId="0" fillId="0" borderId="0" xfId="43" applyNumberFormat="1" applyFont="1"/>
    <xf numFmtId="42" fontId="0" fillId="0" borderId="0" xfId="43" applyNumberFormat="1" applyFont="1"/>
    <xf numFmtId="0" fontId="0" fillId="33" borderId="11" xfId="0" applyFill="1" applyBorder="1" applyAlignment="1">
      <alignment horizontal="center"/>
    </xf>
    <xf numFmtId="0" fontId="18" fillId="34" borderId="0" xfId="0" applyFont="1" applyFill="1" applyAlignment="1">
      <alignment horizontal="center" vertical="center" wrapText="1"/>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3" builtinId="5"/>
    <cellStyle name="Title" xfId="1" builtinId="15" customBuiltin="1"/>
    <cellStyle name="Total" xfId="17" builtinId="25" customBuiltin="1"/>
    <cellStyle name="Warning Text" xfId="14" builtinId="11" customBuiltin="1"/>
  </cellStyles>
  <dxfs count="27">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font>
        <b/>
        <i val="0"/>
        <sz val="14"/>
        <color rgb="FFF7FFFF"/>
        <name val="Aptos Narrow"/>
        <family val="2"/>
        <scheme val="minor"/>
      </font>
    </dxf>
    <dxf>
      <fill>
        <patternFill>
          <bgColor rgb="FF5E936C"/>
        </patternFill>
      </fill>
    </dxf>
  </dxfs>
  <tableStyles count="1" defaultTableStyle="TableStyleMedium2" defaultPivotStyle="PivotStyleLight16">
    <tableStyle name="Slicer Style 1" pivot="0" table="0" count="6" xr9:uid="{55324C34-91C9-47D3-9436-1986561F9122}">
      <tableStyleElement type="wholeTable" dxfId="26"/>
      <tableStyleElement type="headerRow" dxfId="25"/>
    </tableStyle>
  </tableStyles>
  <colors>
    <mruColors>
      <color rgb="FF3E5F44"/>
      <color rgb="FFF7FFFF"/>
      <color rgb="FF5E936C"/>
      <color rgb="FFE8FFD7"/>
      <color rgb="FF93DA97"/>
      <color rgb="FFFFFF00"/>
    </mruColors>
  </colors>
  <extLst>
    <ext xmlns:x14="http://schemas.microsoft.com/office/spreadsheetml/2009/9/main" uri="{46F421CA-312F-682f-3DD2-61675219B42D}">
      <x14:dxfs count="4">
        <dxf>
          <font>
            <sz val="11"/>
          </font>
          <border>
            <left style="thin">
              <color rgb="FFF7FFFF"/>
            </left>
            <right style="thin">
              <color rgb="FFF7FFFF"/>
            </right>
            <top style="thin">
              <color rgb="FFF7FFFF"/>
            </top>
            <bottom style="thin">
              <color rgb="FFF7FFFF"/>
            </bottom>
          </border>
        </dxf>
        <dxf>
          <font>
            <b/>
            <i val="0"/>
            <sz val="11"/>
            <color rgb="FFF7FFFF"/>
            <name val="Aptos Narrow"/>
            <family val="2"/>
            <scheme val="minor"/>
          </font>
          <border>
            <left style="thin">
              <color rgb="FFF7FFFF"/>
            </left>
            <right style="thin">
              <color rgb="FFF7FFFF"/>
            </right>
            <top style="thin">
              <color rgb="FFF7FFFF"/>
            </top>
            <bottom style="thin">
              <color rgb="FFF7FFFF"/>
            </bottom>
          </border>
        </dxf>
        <dxf>
          <font>
            <b val="0"/>
            <i val="0"/>
            <strike/>
            <sz val="11"/>
            <color rgb="FFF7FFFF"/>
            <name val="Aptos Narrow"/>
            <family val="2"/>
            <scheme val="minor"/>
          </font>
          <border>
            <left style="thin">
              <color rgb="FFF7FFFF"/>
            </left>
            <right style="thin">
              <color rgb="FFF7FFFF"/>
            </right>
            <top style="thin">
              <color rgb="FFF7FFFF"/>
            </top>
            <bottom style="thin">
              <color rgb="FFF7FFFF"/>
            </bottom>
          </border>
        </dxf>
        <dxf>
          <font>
            <b val="0"/>
            <i val="0"/>
            <strike/>
            <sz val="11"/>
            <color rgb="FFF7FFFF"/>
            <name val="Aptos Narrow"/>
            <family val="2"/>
            <scheme val="minor"/>
          </font>
          <border>
            <left style="thin">
              <color rgb="FFF7FFFF"/>
            </left>
            <right style="thin">
              <color rgb="FFF7FFFF"/>
            </right>
            <top style="thin">
              <color rgb="FFF7FFFF"/>
            </top>
            <bottom style="thin">
              <color rgb="FFF7FFFF"/>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Sheet1.csv.xlsx]Pie Chart!PivotTable1</c:name>
    <c:fmtId val="4"/>
  </c:pivotSource>
  <c:chart>
    <c:title>
      <c:tx>
        <c:rich>
          <a:bodyPr rot="0" spcFirstLastPara="1" vertOverflow="ellipsis" vert="horz" wrap="square" anchor="ctr" anchorCtr="1"/>
          <a:lstStyle/>
          <a:p>
            <a:pPr>
              <a:defRPr sz="1400" b="0" i="0" u="none" strike="noStrike" kern="1200" spc="0" baseline="0">
                <a:solidFill>
                  <a:srgbClr val="3E5F44"/>
                </a:solidFill>
                <a:latin typeface="+mn-lt"/>
                <a:ea typeface="+mn-ea"/>
                <a:cs typeface="+mn-cs"/>
              </a:defRPr>
            </a:pPr>
            <a:r>
              <a:rPr lang="en-GB" b="1"/>
              <a:t>The recency of customer purchases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E5F4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3E5F44"/>
          </a:solidFill>
          <a:ln w="19050">
            <a:solidFill>
              <a:schemeClr val="lt1"/>
            </a:solid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E5F44"/>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5E936C"/>
          </a:solidFill>
          <a:ln w="19050">
            <a:noFill/>
          </a:ln>
          <a:effectLst>
            <a:outerShdw blurRad="50800" dist="38100" dir="8100000" algn="tr" rotWithShape="0">
              <a:prstClr val="black">
                <a:alpha val="40000"/>
              </a:prstClr>
            </a:outerShdw>
          </a:effectLst>
        </c:spPr>
      </c:pivotFmt>
      <c:pivotFmt>
        <c:idx val="7"/>
        <c:spPr>
          <a:solidFill>
            <a:srgbClr val="E8FFD7"/>
          </a:solidFill>
          <a:ln w="19050">
            <a:noFill/>
          </a:ln>
          <a:effectLst>
            <a:outerShdw blurRad="50800" dist="38100" dir="8100000" algn="tr" rotWithShape="0">
              <a:prstClr val="black">
                <a:alpha val="40000"/>
              </a:prstClr>
            </a:outerShdw>
          </a:effectLst>
        </c:spPr>
      </c:pivotFmt>
      <c:pivotFmt>
        <c:idx val="8"/>
        <c:spPr>
          <a:solidFill>
            <a:srgbClr val="93DA97"/>
          </a:solidFill>
          <a:ln w="0">
            <a:noFill/>
          </a:ln>
          <a:effectLst>
            <a:outerShdw blurRad="50800" dist="38100" dir="8100000" algn="tr" rotWithShape="0">
              <a:prstClr val="black">
                <a:alpha val="40000"/>
              </a:prstClr>
            </a:outerShdw>
          </a:effectLst>
        </c:spPr>
      </c:pivotFmt>
    </c:pivotFmts>
    <c:plotArea>
      <c:layout>
        <c:manualLayout>
          <c:layoutTarget val="inner"/>
          <c:xMode val="edge"/>
          <c:yMode val="edge"/>
          <c:x val="0.28384032224235334"/>
          <c:y val="0.34938441908833728"/>
          <c:w val="0.45620913147496794"/>
          <c:h val="0.63302407467102384"/>
        </c:manualLayout>
      </c:layout>
      <c:pieChart>
        <c:varyColors val="1"/>
        <c:ser>
          <c:idx val="0"/>
          <c:order val="0"/>
          <c:tx>
            <c:strRef>
              <c:f>'Pie Chart'!$B$3</c:f>
              <c:strCache>
                <c:ptCount val="1"/>
                <c:pt idx="0">
                  <c:v>Total</c:v>
                </c:pt>
              </c:strCache>
            </c:strRef>
          </c:tx>
          <c:spPr>
            <a:solidFill>
              <a:srgbClr val="3E5F44"/>
            </a:solidFill>
            <a:effectLst>
              <a:outerShdw blurRad="50800" dist="38100" dir="8100000" algn="tr" rotWithShape="0">
                <a:prstClr val="black">
                  <a:alpha val="40000"/>
                </a:prstClr>
              </a:outerShdw>
            </a:effectLst>
          </c:spPr>
          <c:dPt>
            <c:idx val="0"/>
            <c:bubble3D val="0"/>
            <c:spPr>
              <a:solidFill>
                <a:srgbClr val="5E936C"/>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18E-4040-A31E-27E2E8B8FD9A}"/>
              </c:ext>
            </c:extLst>
          </c:dPt>
          <c:dPt>
            <c:idx val="1"/>
            <c:bubble3D val="0"/>
            <c:spPr>
              <a:solidFill>
                <a:srgbClr val="E8FFD7"/>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18E-4040-A31E-27E2E8B8FD9A}"/>
              </c:ext>
            </c:extLst>
          </c:dPt>
          <c:dPt>
            <c:idx val="2"/>
            <c:bubble3D val="0"/>
            <c:spPr>
              <a:solidFill>
                <a:srgbClr val="93DA97"/>
              </a:solidFill>
              <a:ln w="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818E-4040-A31E-27E2E8B8FD9A}"/>
              </c:ext>
            </c:extLst>
          </c:dPt>
          <c:dLbls>
            <c:spPr>
              <a:noFill/>
              <a:ln>
                <a:noFill/>
              </a:ln>
              <a:effectLst/>
            </c:spPr>
            <c:txPr>
              <a:bodyPr rot="0" spcFirstLastPara="1" vertOverflow="ellipsis" vert="horz" wrap="square" anchor="ctr" anchorCtr="1"/>
              <a:lstStyle/>
              <a:p>
                <a:pPr>
                  <a:defRPr sz="900" b="0" i="0" u="none" strike="noStrike" kern="1200" baseline="0">
                    <a:solidFill>
                      <a:srgbClr val="3E5F44"/>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Chart'!$A$4:$A$6</c:f>
              <c:strCache>
                <c:ptCount val="3"/>
                <c:pt idx="0">
                  <c:v>Active</c:v>
                </c:pt>
                <c:pt idx="1">
                  <c:v>Inactive</c:v>
                </c:pt>
                <c:pt idx="2">
                  <c:v>Moderately Active</c:v>
                </c:pt>
              </c:strCache>
            </c:strRef>
          </c:cat>
          <c:val>
            <c:numRef>
              <c:f>'Pie Chart'!$B$4:$B$6</c:f>
              <c:numCache>
                <c:formatCode>General</c:formatCode>
                <c:ptCount val="3"/>
                <c:pt idx="0">
                  <c:v>147</c:v>
                </c:pt>
                <c:pt idx="1">
                  <c:v>47</c:v>
                </c:pt>
                <c:pt idx="2">
                  <c:v>156</c:v>
                </c:pt>
              </c:numCache>
            </c:numRef>
          </c:val>
          <c:extLst>
            <c:ext xmlns:c16="http://schemas.microsoft.com/office/drawing/2014/chart" uri="{C3380CC4-5D6E-409C-BE32-E72D297353CC}">
              <c16:uniqueId val="{00000008-71D7-4A33-98FA-12BA3CF8DB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E5F4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3E5F4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3E5F44"/>
                </a:solidFill>
                <a:latin typeface="+mn-lt"/>
                <a:ea typeface="+mn-ea"/>
                <a:cs typeface="+mn-cs"/>
              </a:defRPr>
            </a:pPr>
            <a:r>
              <a:rPr lang="en-GB" sz="1400" b="1" i="0" u="none" strike="noStrike" baseline="0"/>
              <a:t>Relationship between Customer Rating and Total Spend</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F44"/>
              </a:solidFill>
              <a:latin typeface="+mn-lt"/>
              <a:ea typeface="+mn-ea"/>
              <a:cs typeface="+mn-cs"/>
            </a:defRPr>
          </a:pPr>
          <a:endParaRPr lang="en-GB"/>
        </a:p>
      </c:txPr>
    </c:title>
    <c:autoTitleDeleted val="0"/>
    <c:plotArea>
      <c:layout/>
      <c:scatterChart>
        <c:scatterStyle val="lineMarker"/>
        <c:varyColors val="0"/>
        <c:ser>
          <c:idx val="0"/>
          <c:order val="0"/>
          <c:spPr>
            <a:ln w="25400" cap="rnd">
              <a:noFill/>
              <a:round/>
            </a:ln>
            <a:effectLst/>
          </c:spPr>
          <c:marker>
            <c:symbol val="circle"/>
            <c:size val="5"/>
            <c:spPr>
              <a:solidFill>
                <a:srgbClr val="3E5F44"/>
              </a:solidFill>
              <a:ln w="9525">
                <a:solidFill>
                  <a:schemeClr val="accent1"/>
                </a:solidFill>
              </a:ln>
              <a:effectLst/>
            </c:spPr>
          </c:marker>
          <c:trendline>
            <c:spPr>
              <a:ln w="31750" cap="rnd">
                <a:solidFill>
                  <a:srgbClr val="3E5F44"/>
                </a:solidFill>
                <a:prstDash val="sysDot"/>
              </a:ln>
              <a:effectLst/>
            </c:spPr>
            <c:trendlineType val="linear"/>
            <c:dispRSqr val="0"/>
            <c:dispEq val="0"/>
          </c:trendline>
          <c:xVal>
            <c:numRef>
              <c:f>'Scatter Plot'!$A$4:$A$23</c:f>
              <c:numCache>
                <c:formatCode>General</c:formatCode>
                <c:ptCount val="20"/>
                <c:pt idx="0">
                  <c:v>3</c:v>
                </c:pt>
                <c:pt idx="1">
                  <c:v>3.1</c:v>
                </c:pt>
                <c:pt idx="2">
                  <c:v>3.2</c:v>
                </c:pt>
                <c:pt idx="3">
                  <c:v>3.3</c:v>
                </c:pt>
                <c:pt idx="4">
                  <c:v>3.4</c:v>
                </c:pt>
                <c:pt idx="5">
                  <c:v>3.5</c:v>
                </c:pt>
                <c:pt idx="6">
                  <c:v>3.6</c:v>
                </c:pt>
                <c:pt idx="7">
                  <c:v>3.7</c:v>
                </c:pt>
                <c:pt idx="8">
                  <c:v>3.8</c:v>
                </c:pt>
                <c:pt idx="9">
                  <c:v>3.9</c:v>
                </c:pt>
                <c:pt idx="10">
                  <c:v>4</c:v>
                </c:pt>
                <c:pt idx="11">
                  <c:v>4.0999999999999996</c:v>
                </c:pt>
                <c:pt idx="12">
                  <c:v>4.2</c:v>
                </c:pt>
                <c:pt idx="13">
                  <c:v>4.3</c:v>
                </c:pt>
                <c:pt idx="14">
                  <c:v>4.4000000000000004</c:v>
                </c:pt>
                <c:pt idx="15">
                  <c:v>4.5</c:v>
                </c:pt>
                <c:pt idx="16">
                  <c:v>4.5999999999999996</c:v>
                </c:pt>
                <c:pt idx="17">
                  <c:v>4.7</c:v>
                </c:pt>
                <c:pt idx="18">
                  <c:v>4.8</c:v>
                </c:pt>
                <c:pt idx="19">
                  <c:v>4.9000000000000004</c:v>
                </c:pt>
              </c:numCache>
            </c:numRef>
          </c:xVal>
          <c:yVal>
            <c:numRef>
              <c:f>'Scatter Plot'!$B$4:$B$23</c:f>
              <c:numCache>
                <c:formatCode>"$"#,##0;[Red]"$"#,##0</c:formatCode>
                <c:ptCount val="20"/>
                <c:pt idx="0">
                  <c:v>5626.4</c:v>
                </c:pt>
                <c:pt idx="1">
                  <c:v>7580</c:v>
                </c:pt>
                <c:pt idx="2">
                  <c:v>4458.5</c:v>
                </c:pt>
                <c:pt idx="3">
                  <c:v>12638.6</c:v>
                </c:pt>
                <c:pt idx="4">
                  <c:v>8315.1500000000015</c:v>
                </c:pt>
                <c:pt idx="5">
                  <c:v>4668.45</c:v>
                </c:pt>
                <c:pt idx="6">
                  <c:v>11626</c:v>
                </c:pt>
                <c:pt idx="7">
                  <c:v>700.6</c:v>
                </c:pt>
                <c:pt idx="8">
                  <c:v>16117.199999999993</c:v>
                </c:pt>
                <c:pt idx="9">
                  <c:v>5504.8000000000011</c:v>
                </c:pt>
                <c:pt idx="10">
                  <c:v>13595.2</c:v>
                </c:pt>
                <c:pt idx="11">
                  <c:v>25553.300000000014</c:v>
                </c:pt>
                <c:pt idx="12">
                  <c:v>9727.65</c:v>
                </c:pt>
                <c:pt idx="13">
                  <c:v>16747.899999999994</c:v>
                </c:pt>
                <c:pt idx="14">
                  <c:v>8942.85</c:v>
                </c:pt>
                <c:pt idx="15">
                  <c:v>35970.499999999985</c:v>
                </c:pt>
                <c:pt idx="16">
                  <c:v>14036</c:v>
                </c:pt>
                <c:pt idx="17">
                  <c:v>27871.8</c:v>
                </c:pt>
                <c:pt idx="18">
                  <c:v>30550.199999999997</c:v>
                </c:pt>
                <c:pt idx="19">
                  <c:v>35652.499999999985</c:v>
                </c:pt>
              </c:numCache>
            </c:numRef>
          </c:yVal>
          <c:smooth val="0"/>
          <c:extLst>
            <c:ext xmlns:c16="http://schemas.microsoft.com/office/drawing/2014/chart" uri="{C3380CC4-5D6E-409C-BE32-E72D297353CC}">
              <c16:uniqueId val="{00000001-D621-4280-B83B-78C74DCAB757}"/>
            </c:ext>
          </c:extLst>
        </c:ser>
        <c:dLbls>
          <c:showLegendKey val="0"/>
          <c:showVal val="0"/>
          <c:showCatName val="0"/>
          <c:showSerName val="0"/>
          <c:showPercent val="0"/>
          <c:showBubbleSize val="0"/>
        </c:dLbls>
        <c:axId val="165647359"/>
        <c:axId val="165647839"/>
      </c:scatterChart>
      <c:valAx>
        <c:axId val="165647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3E5F44"/>
                </a:solidFill>
                <a:latin typeface="+mn-lt"/>
                <a:ea typeface="+mn-ea"/>
                <a:cs typeface="+mn-cs"/>
              </a:defRPr>
            </a:pPr>
            <a:endParaRPr lang="en-US"/>
          </a:p>
        </c:txPr>
        <c:crossAx val="165647839"/>
        <c:crosses val="autoZero"/>
        <c:crossBetween val="midCat"/>
      </c:valAx>
      <c:valAx>
        <c:axId val="165647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3E5F44"/>
                </a:solidFill>
                <a:latin typeface="+mn-lt"/>
                <a:ea typeface="+mn-ea"/>
                <a:cs typeface="+mn-cs"/>
              </a:defRPr>
            </a:pPr>
            <a:endParaRPr lang="en-US"/>
          </a:p>
        </c:txPr>
        <c:crossAx val="1656473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3E5F44"/>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3E5F44"/>
                </a:solidFill>
                <a:latin typeface="+mn-lt"/>
                <a:ea typeface="+mn-ea"/>
                <a:cs typeface="+mn-cs"/>
              </a:defRPr>
            </a:pPr>
            <a:r>
              <a:rPr lang="en-GB" sz="1400" b="1"/>
              <a:t>Items Purchased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F44"/>
              </a:solidFill>
              <a:latin typeface="+mn-lt"/>
              <a:ea typeface="+mn-ea"/>
              <a:cs typeface="+mn-cs"/>
            </a:defRPr>
          </a:pPr>
          <a:endParaRPr lang="en-US"/>
        </a:p>
      </c:txPr>
    </c:title>
    <c:autoTitleDeleted val="0"/>
    <c:plotArea>
      <c:layout/>
      <c:barChart>
        <c:barDir val="bar"/>
        <c:grouping val="clustered"/>
        <c:varyColors val="0"/>
        <c:ser>
          <c:idx val="1"/>
          <c:order val="1"/>
          <c:tx>
            <c:strRef>
              <c:f>'Items Purchased-Gender and Age'!$C$11</c:f>
              <c:strCache>
                <c:ptCount val="1"/>
                <c:pt idx="0">
                  <c:v>Male Items Purchased</c:v>
                </c:pt>
              </c:strCache>
            </c:strRef>
          </c:tx>
          <c:spPr>
            <a:gradFill flip="none" rotWithShape="1">
              <a:gsLst>
                <a:gs pos="0">
                  <a:schemeClr val="accent1">
                    <a:lumMod val="5000"/>
                    <a:lumOff val="95000"/>
                  </a:schemeClr>
                </a:gs>
                <a:gs pos="74000">
                  <a:srgbClr val="5E936C"/>
                </a:gs>
              </a:gsLst>
              <a:lin ang="2700000" scaled="1"/>
              <a:tileRect/>
            </a:gradFill>
            <a:ln>
              <a:solidFill>
                <a:schemeClr val="accent1"/>
              </a:solidFill>
            </a:ln>
            <a:effectLst/>
          </c:spPr>
          <c:invertIfNegative val="0"/>
          <c:dLbls>
            <c:numFmt formatCode="#,##0;\-#,##0;;" sourceLinked="0"/>
            <c:spPr>
              <a:noFill/>
              <a:ln>
                <a:noFill/>
              </a:ln>
              <a:effectLst/>
            </c:spPr>
            <c:txPr>
              <a:bodyPr rot="0" spcFirstLastPara="1" vertOverflow="ellipsis" vert="horz" wrap="square" anchor="ctr" anchorCtr="1"/>
              <a:lstStyle/>
              <a:p>
                <a:pPr>
                  <a:defRPr sz="1000" b="0" i="0" u="none" strike="noStrike" kern="1200" baseline="0">
                    <a:solidFill>
                      <a:srgbClr val="3E5F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 Purchased-Gender and Age'!$A$12:$A$16</c:f>
              <c:strCache>
                <c:ptCount val="5"/>
                <c:pt idx="1">
                  <c:v>24-29</c:v>
                </c:pt>
                <c:pt idx="2">
                  <c:v>30-35</c:v>
                </c:pt>
                <c:pt idx="3">
                  <c:v>36-41</c:v>
                </c:pt>
                <c:pt idx="4">
                  <c:v>Over 41</c:v>
                </c:pt>
              </c:strCache>
            </c:strRef>
          </c:cat>
          <c:val>
            <c:numRef>
              <c:f>'Items Purchased-Gender and Age'!$C$12:$C$16</c:f>
              <c:numCache>
                <c:formatCode>General</c:formatCode>
                <c:ptCount val="5"/>
                <c:pt idx="1">
                  <c:v>1097</c:v>
                </c:pt>
                <c:pt idx="2">
                  <c:v>1411</c:v>
                </c:pt>
                <c:pt idx="3">
                  <c:v>19</c:v>
                </c:pt>
                <c:pt idx="4">
                  <c:v>0</c:v>
                </c:pt>
              </c:numCache>
            </c:numRef>
          </c:val>
          <c:extLst>
            <c:ext xmlns:c16="http://schemas.microsoft.com/office/drawing/2014/chart" uri="{C3380CC4-5D6E-409C-BE32-E72D297353CC}">
              <c16:uniqueId val="{00000000-4571-42BA-A546-B5CF5329645E}"/>
            </c:ext>
          </c:extLst>
        </c:ser>
        <c:dLbls>
          <c:showLegendKey val="0"/>
          <c:showVal val="1"/>
          <c:showCatName val="0"/>
          <c:showSerName val="0"/>
          <c:showPercent val="0"/>
          <c:showBubbleSize val="0"/>
        </c:dLbls>
        <c:gapWidth val="15"/>
        <c:overlap val="100"/>
        <c:axId val="1063871551"/>
        <c:axId val="1063872031"/>
      </c:barChart>
      <c:barChart>
        <c:barDir val="bar"/>
        <c:grouping val="clustered"/>
        <c:varyColors val="0"/>
        <c:ser>
          <c:idx val="0"/>
          <c:order val="0"/>
          <c:tx>
            <c:strRef>
              <c:f>'Items Purchased-Gender and Age'!$B$11</c:f>
              <c:strCache>
                <c:ptCount val="1"/>
                <c:pt idx="0">
                  <c:v>Female Items Purchased</c:v>
                </c:pt>
              </c:strCache>
            </c:strRef>
          </c:tx>
          <c:spPr>
            <a:gradFill>
              <a:gsLst>
                <a:gs pos="0">
                  <a:schemeClr val="accent1">
                    <a:lumMod val="5000"/>
                    <a:lumOff val="95000"/>
                  </a:schemeClr>
                </a:gs>
                <a:gs pos="62000">
                  <a:schemeClr val="accent5">
                    <a:lumMod val="40000"/>
                    <a:lumOff val="60000"/>
                  </a:schemeClr>
                </a:gs>
              </a:gsLst>
              <a:lin ang="2700000" scaled="1"/>
            </a:gradFill>
            <a:ln cap="flat">
              <a:solidFill>
                <a:schemeClr val="accent1"/>
              </a:solidFill>
            </a:ln>
            <a:effectLst/>
          </c:spPr>
          <c:invertIfNegative val="0"/>
          <c:dLbls>
            <c:numFmt formatCode="#,##0;\-#,##0;;" sourceLinked="0"/>
            <c:spPr>
              <a:noFill/>
              <a:ln>
                <a:noFill/>
              </a:ln>
              <a:effectLst/>
            </c:spPr>
            <c:txPr>
              <a:bodyPr rot="0" spcFirstLastPara="1" vertOverflow="ellipsis" vert="horz" wrap="square" anchor="ctr" anchorCtr="1"/>
              <a:lstStyle/>
              <a:p>
                <a:pPr>
                  <a:defRPr sz="1000" b="0" i="0" u="none" strike="noStrike" kern="1200" baseline="0">
                    <a:solidFill>
                      <a:srgbClr val="3E5F4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 Purchased-Gender and Age'!$A$12:$A$16</c:f>
              <c:strCache>
                <c:ptCount val="5"/>
                <c:pt idx="1">
                  <c:v>24-29</c:v>
                </c:pt>
                <c:pt idx="2">
                  <c:v>30-35</c:v>
                </c:pt>
                <c:pt idx="3">
                  <c:v>36-41</c:v>
                </c:pt>
                <c:pt idx="4">
                  <c:v>Over 41</c:v>
                </c:pt>
              </c:strCache>
            </c:strRef>
          </c:cat>
          <c:val>
            <c:numRef>
              <c:f>'Items Purchased-Gender and Age'!$B$12:$B$16</c:f>
              <c:numCache>
                <c:formatCode>General</c:formatCode>
                <c:ptCount val="5"/>
                <c:pt idx="1">
                  <c:v>28</c:v>
                </c:pt>
                <c:pt idx="2">
                  <c:v>877</c:v>
                </c:pt>
                <c:pt idx="3">
                  <c:v>649</c:v>
                </c:pt>
                <c:pt idx="4">
                  <c:v>329</c:v>
                </c:pt>
              </c:numCache>
            </c:numRef>
          </c:val>
          <c:extLst>
            <c:ext xmlns:c16="http://schemas.microsoft.com/office/drawing/2014/chart" uri="{C3380CC4-5D6E-409C-BE32-E72D297353CC}">
              <c16:uniqueId val="{00000001-4571-42BA-A546-B5CF5329645E}"/>
            </c:ext>
          </c:extLst>
        </c:ser>
        <c:dLbls>
          <c:showLegendKey val="0"/>
          <c:showVal val="1"/>
          <c:showCatName val="0"/>
          <c:showSerName val="0"/>
          <c:showPercent val="0"/>
          <c:showBubbleSize val="0"/>
        </c:dLbls>
        <c:gapWidth val="15"/>
        <c:overlap val="100"/>
        <c:axId val="1017174959"/>
        <c:axId val="1017177359"/>
      </c:barChart>
      <c:catAx>
        <c:axId val="10638715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3E5F44"/>
                </a:solidFill>
                <a:latin typeface="+mn-lt"/>
                <a:ea typeface="+mn-ea"/>
                <a:cs typeface="+mn-cs"/>
              </a:defRPr>
            </a:pPr>
            <a:endParaRPr lang="en-US"/>
          </a:p>
        </c:txPr>
        <c:crossAx val="1063872031"/>
        <c:crosses val="autoZero"/>
        <c:auto val="1"/>
        <c:lblAlgn val="ctr"/>
        <c:lblOffset val="100"/>
        <c:noMultiLvlLbl val="0"/>
      </c:catAx>
      <c:valAx>
        <c:axId val="1063872031"/>
        <c:scaling>
          <c:orientation val="minMax"/>
          <c:max val="1500"/>
          <c:min val="-2000"/>
        </c:scaling>
        <c:delete val="0"/>
        <c:axPos val="b"/>
        <c:majorGridlines>
          <c:spPr>
            <a:ln w="9525" cap="flat" cmpd="sng" algn="ctr">
              <a:solidFill>
                <a:schemeClr val="tx1">
                  <a:lumMod val="15000"/>
                  <a:lumOff val="85000"/>
                </a:schemeClr>
              </a:solidFill>
              <a:round/>
            </a:ln>
            <a:effectLst/>
          </c:spPr>
        </c:majorGridlines>
        <c:numFmt formatCode="[&gt;=0]General"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1000" b="0" i="0" u="none" strike="noStrike" kern="1200" baseline="0">
                <a:solidFill>
                  <a:srgbClr val="3E5F44"/>
                </a:solidFill>
                <a:latin typeface="+mn-lt"/>
                <a:ea typeface="+mn-ea"/>
                <a:cs typeface="+mn-cs"/>
              </a:defRPr>
            </a:pPr>
            <a:endParaRPr lang="en-US"/>
          </a:p>
        </c:txPr>
        <c:crossAx val="1063871551"/>
        <c:crossesAt val="2"/>
        <c:crossBetween val="between"/>
      </c:valAx>
      <c:valAx>
        <c:axId val="1017177359"/>
        <c:scaling>
          <c:orientation val="maxMin"/>
          <c:max val="1500"/>
          <c:min val="-2000"/>
        </c:scaling>
        <c:delete val="0"/>
        <c:axPos val="b"/>
        <c:numFmt formatCode="[&gt;=0]General" sourceLinked="0"/>
        <c:majorTickMark val="out"/>
        <c:minorTickMark val="none"/>
        <c:tickLblPos val="nextTo"/>
        <c:spPr>
          <a:noFill/>
          <a:ln w="6350">
            <a:solidFill>
              <a:schemeClr val="accent1"/>
            </a:solidFill>
          </a:ln>
          <a:effectLst/>
        </c:spPr>
        <c:txPr>
          <a:bodyPr rot="-60000000" spcFirstLastPara="1" vertOverflow="ellipsis" vert="horz" wrap="square" anchor="ctr" anchorCtr="1"/>
          <a:lstStyle/>
          <a:p>
            <a:pPr>
              <a:defRPr sz="1000" b="0" i="0" u="none" strike="noStrike" kern="1200" baseline="0">
                <a:solidFill>
                  <a:srgbClr val="3E5F44"/>
                </a:solidFill>
                <a:latin typeface="+mn-lt"/>
                <a:ea typeface="+mn-ea"/>
                <a:cs typeface="+mn-cs"/>
              </a:defRPr>
            </a:pPr>
            <a:endParaRPr lang="en-US"/>
          </a:p>
        </c:txPr>
        <c:crossAx val="1017174959"/>
        <c:crossesAt val="2"/>
        <c:crossBetween val="between"/>
        <c:majorUnit val="500"/>
      </c:valAx>
      <c:catAx>
        <c:axId val="1017174959"/>
        <c:scaling>
          <c:orientation val="minMax"/>
        </c:scaling>
        <c:delete val="0"/>
        <c:axPos val="r"/>
        <c:numFmt formatCode="General" sourceLinked="1"/>
        <c:majorTickMark val="out"/>
        <c:minorTickMark val="none"/>
        <c:tickLblPos val="none"/>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3E5F44"/>
                </a:solidFill>
                <a:latin typeface="+mn-lt"/>
                <a:ea typeface="+mn-ea"/>
                <a:cs typeface="+mn-cs"/>
              </a:defRPr>
            </a:pPr>
            <a:endParaRPr lang="en-US"/>
          </a:p>
        </c:txPr>
        <c:crossAx val="1017177359"/>
        <c:crossesAt val="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rgbClr val="3E5F44"/>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3E5F44"/>
                </a:solidFill>
              </a:rPr>
              <a:t>Bronze Members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'Gauge Chart'!$B$19</c:f>
              <c:strCache>
                <c:ptCount val="1"/>
                <c:pt idx="0">
                  <c:v>Range</c:v>
                </c:pt>
              </c:strCache>
            </c:strRef>
          </c:tx>
          <c:spPr>
            <a:ln>
              <a:noFill/>
            </a:ln>
          </c:spPr>
          <c:dPt>
            <c:idx val="0"/>
            <c:bubble3D val="0"/>
            <c:spPr>
              <a:solidFill>
                <a:srgbClr val="FF0000"/>
              </a:solidFill>
              <a:ln w="19050">
                <a:noFill/>
              </a:ln>
              <a:effectLst/>
            </c:spPr>
            <c:extLst>
              <c:ext xmlns:c16="http://schemas.microsoft.com/office/drawing/2014/chart" uri="{C3380CC4-5D6E-409C-BE32-E72D297353CC}">
                <c16:uniqueId val="{00000001-424C-4A9B-8422-F019950C19F4}"/>
              </c:ext>
            </c:extLst>
          </c:dPt>
          <c:dPt>
            <c:idx val="1"/>
            <c:bubble3D val="0"/>
            <c:spPr>
              <a:solidFill>
                <a:srgbClr val="FFFF00"/>
              </a:solidFill>
              <a:ln w="19050">
                <a:noFill/>
              </a:ln>
              <a:effectLst/>
            </c:spPr>
            <c:extLst>
              <c:ext xmlns:c16="http://schemas.microsoft.com/office/drawing/2014/chart" uri="{C3380CC4-5D6E-409C-BE32-E72D297353CC}">
                <c16:uniqueId val="{00000003-424C-4A9B-8422-F019950C19F4}"/>
              </c:ext>
            </c:extLst>
          </c:dPt>
          <c:dPt>
            <c:idx val="2"/>
            <c:bubble3D val="0"/>
            <c:spPr>
              <a:solidFill>
                <a:schemeClr val="accent3"/>
              </a:solidFill>
              <a:ln w="19050">
                <a:noFill/>
              </a:ln>
              <a:effectLst/>
            </c:spPr>
            <c:extLst>
              <c:ext xmlns:c16="http://schemas.microsoft.com/office/drawing/2014/chart" uri="{C3380CC4-5D6E-409C-BE32-E72D297353CC}">
                <c16:uniqueId val="{00000005-424C-4A9B-8422-F019950C19F4}"/>
              </c:ext>
            </c:extLst>
          </c:dPt>
          <c:dPt>
            <c:idx val="3"/>
            <c:bubble3D val="0"/>
            <c:spPr>
              <a:noFill/>
              <a:ln w="19050">
                <a:noFill/>
              </a:ln>
              <a:effectLst/>
            </c:spPr>
            <c:extLst>
              <c:ext xmlns:c16="http://schemas.microsoft.com/office/drawing/2014/chart" uri="{C3380CC4-5D6E-409C-BE32-E72D297353CC}">
                <c16:uniqueId val="{00000007-424C-4A9B-8422-F019950C19F4}"/>
              </c:ext>
            </c:extLst>
          </c:dPt>
          <c:dPt>
            <c:idx val="4"/>
            <c:bubble3D val="0"/>
            <c:spPr>
              <a:solidFill>
                <a:schemeClr val="accent5"/>
              </a:solidFill>
              <a:ln w="19050">
                <a:noFill/>
              </a:ln>
              <a:effectLst/>
            </c:spPr>
            <c:extLst>
              <c:ext xmlns:c16="http://schemas.microsoft.com/office/drawing/2014/chart" uri="{C3380CC4-5D6E-409C-BE32-E72D297353CC}">
                <c16:uniqueId val="{00000009-424C-4A9B-8422-F019950C19F4}"/>
              </c:ext>
            </c:extLst>
          </c:dPt>
          <c:cat>
            <c:strRef>
              <c:f>'Gauge Chart'!$A$21:$A$25</c:f>
              <c:strCache>
                <c:ptCount val="4"/>
                <c:pt idx="0">
                  <c:v>Poor</c:v>
                </c:pt>
                <c:pt idx="1">
                  <c:v>Average</c:v>
                </c:pt>
                <c:pt idx="2">
                  <c:v>Good </c:v>
                </c:pt>
                <c:pt idx="3">
                  <c:v>Max Value</c:v>
                </c:pt>
              </c:strCache>
            </c:strRef>
          </c:cat>
          <c:val>
            <c:numRef>
              <c:f>'Gauge Chart'!$B$21:$B$25</c:f>
              <c:numCache>
                <c:formatCode>0%</c:formatCode>
                <c:ptCount val="5"/>
                <c:pt idx="0">
                  <c:v>0.25</c:v>
                </c:pt>
                <c:pt idx="1">
                  <c:v>0.5</c:v>
                </c:pt>
                <c:pt idx="2">
                  <c:v>0.25</c:v>
                </c:pt>
                <c:pt idx="3">
                  <c:v>1</c:v>
                </c:pt>
              </c:numCache>
            </c:numRef>
          </c:val>
          <c:extLst>
            <c:ext xmlns:c16="http://schemas.microsoft.com/office/drawing/2014/chart" uri="{C3380CC4-5D6E-409C-BE32-E72D297353CC}">
              <c16:uniqueId val="{0000000A-424C-4A9B-8422-F019950C19F4}"/>
            </c:ext>
          </c:extLst>
        </c:ser>
        <c:dLbls>
          <c:showLegendKey val="0"/>
          <c:showVal val="0"/>
          <c:showCatName val="0"/>
          <c:showSerName val="0"/>
          <c:showPercent val="0"/>
          <c:showBubbleSize val="0"/>
          <c:showLeaderLines val="1"/>
        </c:dLbls>
        <c:firstSliceAng val="270"/>
        <c:holeSize val="55"/>
      </c:doughnutChart>
      <c:pieChart>
        <c:varyColors val="1"/>
        <c:ser>
          <c:idx val="1"/>
          <c:order val="1"/>
          <c:tx>
            <c:v>ticker</c:v>
          </c:tx>
          <c:spPr>
            <a:ln w="12700">
              <a:noFill/>
            </a:ln>
          </c:spPr>
          <c:dPt>
            <c:idx val="0"/>
            <c:bubble3D val="0"/>
            <c:spPr>
              <a:noFill/>
              <a:ln w="12700">
                <a:noFill/>
              </a:ln>
              <a:effectLst/>
            </c:spPr>
            <c:extLst>
              <c:ext xmlns:c16="http://schemas.microsoft.com/office/drawing/2014/chart" uri="{C3380CC4-5D6E-409C-BE32-E72D297353CC}">
                <c16:uniqueId val="{0000000C-424C-4A9B-8422-F019950C19F4}"/>
              </c:ext>
            </c:extLst>
          </c:dPt>
          <c:dPt>
            <c:idx val="1"/>
            <c:bubble3D val="0"/>
            <c:explosion val="5"/>
            <c:spPr>
              <a:solidFill>
                <a:schemeClr val="tx1"/>
              </a:solidFill>
              <a:ln w="12700">
                <a:noFill/>
              </a:ln>
              <a:effectLst/>
            </c:spPr>
            <c:extLst>
              <c:ext xmlns:c16="http://schemas.microsoft.com/office/drawing/2014/chart" uri="{C3380CC4-5D6E-409C-BE32-E72D297353CC}">
                <c16:uniqueId val="{0000000E-424C-4A9B-8422-F019950C19F4}"/>
              </c:ext>
            </c:extLst>
          </c:dPt>
          <c:dPt>
            <c:idx val="2"/>
            <c:bubble3D val="0"/>
            <c:spPr>
              <a:noFill/>
              <a:ln w="12700">
                <a:noFill/>
              </a:ln>
              <a:effectLst/>
            </c:spPr>
            <c:extLst>
              <c:ext xmlns:c16="http://schemas.microsoft.com/office/drawing/2014/chart" uri="{C3380CC4-5D6E-409C-BE32-E72D297353CC}">
                <c16:uniqueId val="{00000010-424C-4A9B-8422-F019950C19F4}"/>
              </c:ext>
            </c:extLst>
          </c:dPt>
          <c:dLbls>
            <c:dLbl>
              <c:idx val="0"/>
              <c:delete val="1"/>
              <c:extLst>
                <c:ext xmlns:c15="http://schemas.microsoft.com/office/drawing/2012/chart" uri="{CE6537A1-D6FC-4f65-9D91-7224C49458BB}"/>
                <c:ext xmlns:c16="http://schemas.microsoft.com/office/drawing/2014/chart" uri="{C3380CC4-5D6E-409C-BE32-E72D297353CC}">
                  <c16:uniqueId val="{0000000C-424C-4A9B-8422-F019950C19F4}"/>
                </c:ext>
              </c:extLst>
            </c:dLbl>
            <c:dLbl>
              <c:idx val="1"/>
              <c:tx>
                <c:strRef>
                  <c:f>'Gauge Chart'!$E$19</c:f>
                  <c:strCache>
                    <c:ptCount val="1"/>
                    <c:pt idx="0">
                      <c:v>25%</c:v>
                    </c:pt>
                  </c:strCache>
                </c:strRef>
              </c:tx>
              <c:showLegendKey val="0"/>
              <c:showVal val="1"/>
              <c:showCatName val="0"/>
              <c:showSerName val="0"/>
              <c:showPercent val="0"/>
              <c:showBubbleSize val="0"/>
              <c:extLst>
                <c:ext xmlns:c15="http://schemas.microsoft.com/office/drawing/2012/chart" uri="{CE6537A1-D6FC-4f65-9D91-7224C49458BB}">
                  <c15:layout>
                    <c:manualLayout>
                      <c:w val="7.3857252495891992E-2"/>
                      <c:h val="7.5810435442406621E-2"/>
                    </c:manualLayout>
                  </c15:layout>
                  <c15:dlblFieldTable>
                    <c15:dlblFTEntry>
                      <c15:txfldGUID>{3A99A5FB-BF5A-4832-A383-8DA7B90817E9}</c15:txfldGUID>
                      <c15:f>'Gauge Chart'!$E$19</c15:f>
                      <c15:dlblFieldTableCache>
                        <c:ptCount val="1"/>
                        <c:pt idx="0">
                          <c:v>25%</c:v>
                        </c:pt>
                      </c15:dlblFieldTableCache>
                    </c15:dlblFTEntry>
                  </c15:dlblFieldTable>
                  <c15:showDataLabelsRange val="0"/>
                </c:ext>
                <c:ext xmlns:c16="http://schemas.microsoft.com/office/drawing/2014/chart" uri="{C3380CC4-5D6E-409C-BE32-E72D297353CC}">
                  <c16:uniqueId val="{0000000E-424C-4A9B-8422-F019950C19F4}"/>
                </c:ext>
              </c:extLst>
            </c:dLbl>
            <c:dLbl>
              <c:idx val="2"/>
              <c:delete val="1"/>
              <c:extLst>
                <c:ext xmlns:c15="http://schemas.microsoft.com/office/drawing/2012/chart" uri="{CE6537A1-D6FC-4f65-9D91-7224C49458BB}"/>
                <c:ext xmlns:c16="http://schemas.microsoft.com/office/drawing/2014/chart" uri="{C3380CC4-5D6E-409C-BE32-E72D297353CC}">
                  <c16:uniqueId val="{00000010-424C-4A9B-8422-F019950C19F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E5F44"/>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'Gauge Chart'!$E$19:$E$21</c:f>
              <c:numCache>
                <c:formatCode>0%</c:formatCode>
                <c:ptCount val="3"/>
                <c:pt idx="0">
                  <c:v>0.24561403508771928</c:v>
                </c:pt>
                <c:pt idx="1">
                  <c:v>0.03</c:v>
                </c:pt>
                <c:pt idx="2">
                  <c:v>1.7243859649122806</c:v>
                </c:pt>
              </c:numCache>
            </c:numRef>
          </c:val>
          <c:extLst>
            <c:ext xmlns:c16="http://schemas.microsoft.com/office/drawing/2014/chart" uri="{C3380CC4-5D6E-409C-BE32-E72D297353CC}">
              <c16:uniqueId val="{00000011-424C-4A9B-8422-F019950C19F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3E5F44"/>
                </a:solidFill>
                <a:latin typeface="+mn-lt"/>
                <a:ea typeface="+mn-ea"/>
                <a:cs typeface="+mn-cs"/>
              </a:defRPr>
            </a:pPr>
            <a:r>
              <a:rPr lang="en-GB" b="1">
                <a:solidFill>
                  <a:srgbClr val="3E5F44"/>
                </a:solidFill>
              </a:rPr>
              <a:t>Gold Members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F44"/>
              </a:solidFill>
              <a:latin typeface="+mn-lt"/>
              <a:ea typeface="+mn-ea"/>
              <a:cs typeface="+mn-cs"/>
            </a:defRPr>
          </a:pPr>
          <a:endParaRPr lang="en-US"/>
        </a:p>
      </c:txPr>
    </c:title>
    <c:autoTitleDeleted val="0"/>
    <c:plotArea>
      <c:layout/>
      <c:doughnutChart>
        <c:varyColors val="1"/>
        <c:ser>
          <c:idx val="0"/>
          <c:order val="0"/>
          <c:tx>
            <c:strRef>
              <c:f>'Gauge Chart'!$B$19</c:f>
              <c:strCache>
                <c:ptCount val="1"/>
                <c:pt idx="0">
                  <c:v>Range</c:v>
                </c:pt>
              </c:strCache>
            </c:strRef>
          </c:tx>
          <c:spPr>
            <a:ln>
              <a:noFill/>
            </a:ln>
          </c:spPr>
          <c:dPt>
            <c:idx val="0"/>
            <c:bubble3D val="0"/>
            <c:spPr>
              <a:solidFill>
                <a:srgbClr val="FF0000"/>
              </a:solidFill>
              <a:ln w="19050">
                <a:noFill/>
              </a:ln>
              <a:effectLst/>
            </c:spPr>
            <c:extLst>
              <c:ext xmlns:c16="http://schemas.microsoft.com/office/drawing/2014/chart" uri="{C3380CC4-5D6E-409C-BE32-E72D297353CC}">
                <c16:uniqueId val="{00000001-D129-4FFF-8A60-3EEE7AB43804}"/>
              </c:ext>
            </c:extLst>
          </c:dPt>
          <c:dPt>
            <c:idx val="1"/>
            <c:bubble3D val="0"/>
            <c:spPr>
              <a:solidFill>
                <a:srgbClr val="FFFF00"/>
              </a:solidFill>
              <a:ln w="19050">
                <a:noFill/>
              </a:ln>
              <a:effectLst/>
            </c:spPr>
            <c:extLst>
              <c:ext xmlns:c16="http://schemas.microsoft.com/office/drawing/2014/chart" uri="{C3380CC4-5D6E-409C-BE32-E72D297353CC}">
                <c16:uniqueId val="{00000003-D129-4FFF-8A60-3EEE7AB43804}"/>
              </c:ext>
            </c:extLst>
          </c:dPt>
          <c:dPt>
            <c:idx val="2"/>
            <c:bubble3D val="0"/>
            <c:spPr>
              <a:solidFill>
                <a:schemeClr val="accent3"/>
              </a:solidFill>
              <a:ln w="19050">
                <a:noFill/>
              </a:ln>
              <a:effectLst/>
            </c:spPr>
            <c:extLst>
              <c:ext xmlns:c16="http://schemas.microsoft.com/office/drawing/2014/chart" uri="{C3380CC4-5D6E-409C-BE32-E72D297353CC}">
                <c16:uniqueId val="{00000005-D129-4FFF-8A60-3EEE7AB43804}"/>
              </c:ext>
            </c:extLst>
          </c:dPt>
          <c:dPt>
            <c:idx val="3"/>
            <c:bubble3D val="0"/>
            <c:spPr>
              <a:noFill/>
              <a:ln w="19050">
                <a:noFill/>
              </a:ln>
              <a:effectLst/>
            </c:spPr>
            <c:extLst>
              <c:ext xmlns:c16="http://schemas.microsoft.com/office/drawing/2014/chart" uri="{C3380CC4-5D6E-409C-BE32-E72D297353CC}">
                <c16:uniqueId val="{00000007-D129-4FFF-8A60-3EEE7AB43804}"/>
              </c:ext>
            </c:extLst>
          </c:dPt>
          <c:dPt>
            <c:idx val="4"/>
            <c:bubble3D val="0"/>
            <c:spPr>
              <a:solidFill>
                <a:schemeClr val="accent5"/>
              </a:solidFill>
              <a:ln w="19050">
                <a:noFill/>
              </a:ln>
              <a:effectLst/>
            </c:spPr>
            <c:extLst>
              <c:ext xmlns:c16="http://schemas.microsoft.com/office/drawing/2014/chart" uri="{C3380CC4-5D6E-409C-BE32-E72D297353CC}">
                <c16:uniqueId val="{00000009-D129-4FFF-8A60-3EEE7AB43804}"/>
              </c:ext>
            </c:extLst>
          </c:dPt>
          <c:cat>
            <c:strRef>
              <c:f>'Gauge Chart'!$A$21:$A$25</c:f>
              <c:strCache>
                <c:ptCount val="4"/>
                <c:pt idx="0">
                  <c:v>Poor</c:v>
                </c:pt>
                <c:pt idx="1">
                  <c:v>Average</c:v>
                </c:pt>
                <c:pt idx="2">
                  <c:v>Good </c:v>
                </c:pt>
                <c:pt idx="3">
                  <c:v>Max Value</c:v>
                </c:pt>
              </c:strCache>
            </c:strRef>
          </c:cat>
          <c:val>
            <c:numRef>
              <c:f>'Gauge Chart'!$B$21:$B$25</c:f>
              <c:numCache>
                <c:formatCode>0%</c:formatCode>
                <c:ptCount val="5"/>
                <c:pt idx="0">
                  <c:v>0.25</c:v>
                </c:pt>
                <c:pt idx="1">
                  <c:v>0.5</c:v>
                </c:pt>
                <c:pt idx="2">
                  <c:v>0.25</c:v>
                </c:pt>
                <c:pt idx="3">
                  <c:v>1</c:v>
                </c:pt>
              </c:numCache>
            </c:numRef>
          </c:val>
          <c:extLst>
            <c:ext xmlns:c16="http://schemas.microsoft.com/office/drawing/2014/chart" uri="{C3380CC4-5D6E-409C-BE32-E72D297353CC}">
              <c16:uniqueId val="{0000000A-D129-4FFF-8A60-3EEE7AB43804}"/>
            </c:ext>
          </c:extLst>
        </c:ser>
        <c:dLbls>
          <c:showLegendKey val="0"/>
          <c:showVal val="0"/>
          <c:showCatName val="0"/>
          <c:showSerName val="0"/>
          <c:showPercent val="0"/>
          <c:showBubbleSize val="0"/>
          <c:showLeaderLines val="1"/>
        </c:dLbls>
        <c:firstSliceAng val="270"/>
        <c:holeSize val="55"/>
      </c:doughnutChart>
      <c:pieChart>
        <c:varyColors val="1"/>
        <c:ser>
          <c:idx val="1"/>
          <c:order val="1"/>
          <c:tx>
            <c:v>ticker</c:v>
          </c:tx>
          <c:spPr>
            <a:ln w="12700">
              <a:noFill/>
            </a:ln>
          </c:spPr>
          <c:explosion val="6"/>
          <c:dPt>
            <c:idx val="0"/>
            <c:bubble3D val="0"/>
            <c:spPr>
              <a:noFill/>
              <a:ln w="12700">
                <a:noFill/>
              </a:ln>
              <a:effectLst/>
            </c:spPr>
            <c:extLst>
              <c:ext xmlns:c16="http://schemas.microsoft.com/office/drawing/2014/chart" uri="{C3380CC4-5D6E-409C-BE32-E72D297353CC}">
                <c16:uniqueId val="{0000000C-D129-4FFF-8A60-3EEE7AB43804}"/>
              </c:ext>
            </c:extLst>
          </c:dPt>
          <c:dPt>
            <c:idx val="1"/>
            <c:bubble3D val="0"/>
            <c:spPr>
              <a:solidFill>
                <a:schemeClr val="tx1"/>
              </a:solidFill>
              <a:ln w="12700">
                <a:noFill/>
              </a:ln>
              <a:effectLst/>
            </c:spPr>
            <c:extLst>
              <c:ext xmlns:c16="http://schemas.microsoft.com/office/drawing/2014/chart" uri="{C3380CC4-5D6E-409C-BE32-E72D297353CC}">
                <c16:uniqueId val="{0000000E-D129-4FFF-8A60-3EEE7AB43804}"/>
              </c:ext>
            </c:extLst>
          </c:dPt>
          <c:dPt>
            <c:idx val="2"/>
            <c:bubble3D val="0"/>
            <c:spPr>
              <a:noFill/>
              <a:ln w="12700">
                <a:noFill/>
              </a:ln>
              <a:effectLst/>
            </c:spPr>
            <c:extLst>
              <c:ext xmlns:c16="http://schemas.microsoft.com/office/drawing/2014/chart" uri="{C3380CC4-5D6E-409C-BE32-E72D297353CC}">
                <c16:uniqueId val="{00000010-D129-4FFF-8A60-3EEE7AB43804}"/>
              </c:ext>
            </c:extLst>
          </c:dPt>
          <c:dLbls>
            <c:dLbl>
              <c:idx val="0"/>
              <c:delete val="1"/>
              <c:extLst>
                <c:ext xmlns:c15="http://schemas.microsoft.com/office/drawing/2012/chart" uri="{CE6537A1-D6FC-4f65-9D91-7224C49458BB}"/>
                <c:ext xmlns:c16="http://schemas.microsoft.com/office/drawing/2014/chart" uri="{C3380CC4-5D6E-409C-BE32-E72D297353CC}">
                  <c16:uniqueId val="{0000000C-D129-4FFF-8A60-3EEE7AB43804}"/>
                </c:ext>
              </c:extLst>
            </c:dLbl>
            <c:dLbl>
              <c:idx val="1"/>
              <c:tx>
                <c:strRef>
                  <c:f>'Gauge Chart'!$H$19</c:f>
                  <c:strCache>
                    <c:ptCount val="1"/>
                    <c:pt idx="0">
                      <c:v>100%</c:v>
                    </c:pt>
                  </c:strCache>
                </c:strRef>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3E5F4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281512407373859E-2"/>
                      <c:h val="8.2391961153174431E-2"/>
                    </c:manualLayout>
                  </c15:layout>
                  <c15:dlblFieldTable>
                    <c15:dlblFTEntry>
                      <c15:txfldGUID>{082CA347-4D80-4C1F-9FD1-502569DA2ABC}</c15:txfldGUID>
                      <c15:f>'Gauge Chart'!$H$19</c15:f>
                      <c15:dlblFieldTableCache>
                        <c:ptCount val="1"/>
                        <c:pt idx="0">
                          <c:v>100%</c:v>
                        </c:pt>
                      </c15:dlblFieldTableCache>
                    </c15:dlblFTEntry>
                  </c15:dlblFieldTable>
                  <c15:showDataLabelsRange val="0"/>
                </c:ext>
                <c:ext xmlns:c16="http://schemas.microsoft.com/office/drawing/2014/chart" uri="{C3380CC4-5D6E-409C-BE32-E72D297353CC}">
                  <c16:uniqueId val="{0000000E-D129-4FFF-8A60-3EEE7AB43804}"/>
                </c:ext>
              </c:extLst>
            </c:dLbl>
            <c:dLbl>
              <c:idx val="2"/>
              <c:delete val="1"/>
              <c:extLst>
                <c:ext xmlns:c15="http://schemas.microsoft.com/office/drawing/2012/chart" uri="{CE6537A1-D6FC-4f65-9D91-7224C49458BB}"/>
                <c:ext xmlns:c16="http://schemas.microsoft.com/office/drawing/2014/chart" uri="{C3380CC4-5D6E-409C-BE32-E72D297353CC}">
                  <c16:uniqueId val="{00000010-D129-4FFF-8A60-3EEE7AB4380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E5F44"/>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'Gauge Chart'!$H$19:$H$21</c:f>
              <c:numCache>
                <c:formatCode>0%</c:formatCode>
                <c:ptCount val="3"/>
                <c:pt idx="0">
                  <c:v>1</c:v>
                </c:pt>
                <c:pt idx="1">
                  <c:v>0.02</c:v>
                </c:pt>
                <c:pt idx="2">
                  <c:v>0.98</c:v>
                </c:pt>
              </c:numCache>
            </c:numRef>
          </c:val>
          <c:extLst>
            <c:ext xmlns:c16="http://schemas.microsoft.com/office/drawing/2014/chart" uri="{C3380CC4-5D6E-409C-BE32-E72D297353CC}">
              <c16:uniqueId val="{00000011-D129-4FFF-8A60-3EEE7AB4380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GB" sz="1400" b="1">
                <a:solidFill>
                  <a:srgbClr val="F7FFFF"/>
                </a:solidFill>
              </a:rPr>
              <a:t>Silver Members</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'Gauge Chart'!$B$19</c:f>
              <c:strCache>
                <c:ptCount val="1"/>
                <c:pt idx="0">
                  <c:v>Range</c:v>
                </c:pt>
              </c:strCache>
            </c:strRef>
          </c:tx>
          <c:spPr>
            <a:ln>
              <a:noFill/>
            </a:ln>
          </c:spPr>
          <c:dPt>
            <c:idx val="0"/>
            <c:bubble3D val="0"/>
            <c:spPr>
              <a:solidFill>
                <a:srgbClr val="FF0000"/>
              </a:solidFill>
              <a:ln w="19050">
                <a:noFill/>
              </a:ln>
              <a:effectLst/>
            </c:spPr>
            <c:extLst>
              <c:ext xmlns:c16="http://schemas.microsoft.com/office/drawing/2014/chart" uri="{C3380CC4-5D6E-409C-BE32-E72D297353CC}">
                <c16:uniqueId val="{00000001-3445-4E2A-A251-DBB6D5BBF99D}"/>
              </c:ext>
            </c:extLst>
          </c:dPt>
          <c:dPt>
            <c:idx val="1"/>
            <c:bubble3D val="0"/>
            <c:spPr>
              <a:solidFill>
                <a:srgbClr val="FFFF00"/>
              </a:solidFill>
              <a:ln w="19050">
                <a:noFill/>
              </a:ln>
              <a:effectLst/>
            </c:spPr>
            <c:extLst>
              <c:ext xmlns:c16="http://schemas.microsoft.com/office/drawing/2014/chart" uri="{C3380CC4-5D6E-409C-BE32-E72D297353CC}">
                <c16:uniqueId val="{00000003-3445-4E2A-A251-DBB6D5BBF99D}"/>
              </c:ext>
            </c:extLst>
          </c:dPt>
          <c:dPt>
            <c:idx val="2"/>
            <c:bubble3D val="0"/>
            <c:spPr>
              <a:solidFill>
                <a:schemeClr val="accent3"/>
              </a:solidFill>
              <a:ln w="19050">
                <a:noFill/>
              </a:ln>
              <a:effectLst/>
            </c:spPr>
            <c:extLst>
              <c:ext xmlns:c16="http://schemas.microsoft.com/office/drawing/2014/chart" uri="{C3380CC4-5D6E-409C-BE32-E72D297353CC}">
                <c16:uniqueId val="{00000005-3445-4E2A-A251-DBB6D5BBF99D}"/>
              </c:ext>
            </c:extLst>
          </c:dPt>
          <c:dPt>
            <c:idx val="3"/>
            <c:bubble3D val="0"/>
            <c:spPr>
              <a:noFill/>
              <a:ln w="19050">
                <a:noFill/>
              </a:ln>
              <a:effectLst/>
            </c:spPr>
            <c:extLst>
              <c:ext xmlns:c16="http://schemas.microsoft.com/office/drawing/2014/chart" uri="{C3380CC4-5D6E-409C-BE32-E72D297353CC}">
                <c16:uniqueId val="{00000007-3445-4E2A-A251-DBB6D5BBF99D}"/>
              </c:ext>
            </c:extLst>
          </c:dPt>
          <c:dPt>
            <c:idx val="4"/>
            <c:bubble3D val="0"/>
            <c:spPr>
              <a:solidFill>
                <a:schemeClr val="accent5"/>
              </a:solidFill>
              <a:ln w="19050">
                <a:noFill/>
              </a:ln>
              <a:effectLst/>
            </c:spPr>
            <c:extLst>
              <c:ext xmlns:c16="http://schemas.microsoft.com/office/drawing/2014/chart" uri="{C3380CC4-5D6E-409C-BE32-E72D297353CC}">
                <c16:uniqueId val="{00000009-3445-4E2A-A251-DBB6D5BBF99D}"/>
              </c:ext>
            </c:extLst>
          </c:dPt>
          <c:cat>
            <c:strRef>
              <c:f>'Gauge Chart'!$A$21:$A$25</c:f>
              <c:strCache>
                <c:ptCount val="4"/>
                <c:pt idx="0">
                  <c:v>Poor</c:v>
                </c:pt>
                <c:pt idx="1">
                  <c:v>Average</c:v>
                </c:pt>
                <c:pt idx="2">
                  <c:v>Good </c:v>
                </c:pt>
                <c:pt idx="3">
                  <c:v>Max Value</c:v>
                </c:pt>
              </c:strCache>
            </c:strRef>
          </c:cat>
          <c:val>
            <c:numRef>
              <c:f>'Gauge Chart'!$B$21:$B$25</c:f>
              <c:numCache>
                <c:formatCode>0%</c:formatCode>
                <c:ptCount val="5"/>
                <c:pt idx="0">
                  <c:v>0.25</c:v>
                </c:pt>
                <c:pt idx="1">
                  <c:v>0.5</c:v>
                </c:pt>
                <c:pt idx="2">
                  <c:v>0.25</c:v>
                </c:pt>
                <c:pt idx="3">
                  <c:v>1</c:v>
                </c:pt>
              </c:numCache>
            </c:numRef>
          </c:val>
          <c:extLst>
            <c:ext xmlns:c16="http://schemas.microsoft.com/office/drawing/2014/chart" uri="{C3380CC4-5D6E-409C-BE32-E72D297353CC}">
              <c16:uniqueId val="{0000000A-3445-4E2A-A251-DBB6D5BBF99D}"/>
            </c:ext>
          </c:extLst>
        </c:ser>
        <c:dLbls>
          <c:showLegendKey val="0"/>
          <c:showVal val="0"/>
          <c:showCatName val="0"/>
          <c:showSerName val="0"/>
          <c:showPercent val="0"/>
          <c:showBubbleSize val="0"/>
          <c:showLeaderLines val="1"/>
        </c:dLbls>
        <c:firstSliceAng val="270"/>
        <c:holeSize val="55"/>
      </c:doughnutChart>
      <c:pieChart>
        <c:varyColors val="1"/>
        <c:ser>
          <c:idx val="1"/>
          <c:order val="1"/>
          <c:tx>
            <c:v>ticker</c:v>
          </c:tx>
          <c:spPr>
            <a:ln w="12700">
              <a:noFill/>
            </a:ln>
          </c:spPr>
          <c:dPt>
            <c:idx val="0"/>
            <c:bubble3D val="0"/>
            <c:spPr>
              <a:noFill/>
              <a:ln w="12700">
                <a:noFill/>
              </a:ln>
              <a:effectLst/>
            </c:spPr>
            <c:extLst>
              <c:ext xmlns:c16="http://schemas.microsoft.com/office/drawing/2014/chart" uri="{C3380CC4-5D6E-409C-BE32-E72D297353CC}">
                <c16:uniqueId val="{0000000C-3445-4E2A-A251-DBB6D5BBF99D}"/>
              </c:ext>
            </c:extLst>
          </c:dPt>
          <c:dPt>
            <c:idx val="1"/>
            <c:bubble3D val="0"/>
            <c:explosion val="5"/>
            <c:spPr>
              <a:solidFill>
                <a:schemeClr val="tx1"/>
              </a:solidFill>
              <a:ln w="12700">
                <a:noFill/>
              </a:ln>
              <a:effectLst/>
            </c:spPr>
            <c:extLst>
              <c:ext xmlns:c16="http://schemas.microsoft.com/office/drawing/2014/chart" uri="{C3380CC4-5D6E-409C-BE32-E72D297353CC}">
                <c16:uniqueId val="{0000000E-3445-4E2A-A251-DBB6D5BBF99D}"/>
              </c:ext>
            </c:extLst>
          </c:dPt>
          <c:dPt>
            <c:idx val="2"/>
            <c:bubble3D val="0"/>
            <c:spPr>
              <a:noFill/>
              <a:ln w="12700">
                <a:noFill/>
              </a:ln>
              <a:effectLst/>
            </c:spPr>
            <c:extLst>
              <c:ext xmlns:c16="http://schemas.microsoft.com/office/drawing/2014/chart" uri="{C3380CC4-5D6E-409C-BE32-E72D297353CC}">
                <c16:uniqueId val="{00000010-3445-4E2A-A251-DBB6D5BBF99D}"/>
              </c:ext>
            </c:extLst>
          </c:dPt>
          <c:dLbls>
            <c:dLbl>
              <c:idx val="0"/>
              <c:delete val="1"/>
              <c:extLst>
                <c:ext xmlns:c15="http://schemas.microsoft.com/office/drawing/2012/chart" uri="{CE6537A1-D6FC-4f65-9D91-7224C49458BB}"/>
                <c:ext xmlns:c16="http://schemas.microsoft.com/office/drawing/2014/chart" uri="{C3380CC4-5D6E-409C-BE32-E72D297353CC}">
                  <c16:uniqueId val="{0000000C-3445-4E2A-A251-DBB6D5BBF99D}"/>
                </c:ext>
              </c:extLst>
            </c:dLbl>
            <c:dLbl>
              <c:idx val="1"/>
              <c:tx>
                <c:strRef>
                  <c:f>'Gauge Chart'!$K$19</c:f>
                  <c:strCache>
                    <c:ptCount val="1"/>
                    <c:pt idx="0">
                      <c:v>29%</c:v>
                    </c:pt>
                  </c:strCache>
                </c:strRef>
              </c:tx>
              <c:showLegendKey val="0"/>
              <c:showVal val="1"/>
              <c:showCatName val="0"/>
              <c:showSerName val="0"/>
              <c:showPercent val="0"/>
              <c:showBubbleSize val="0"/>
              <c:extLst>
                <c:ext xmlns:c15="http://schemas.microsoft.com/office/drawing/2012/chart" uri="{CE6537A1-D6FC-4f65-9D91-7224C49458BB}">
                  <c15:layout>
                    <c:manualLayout>
                      <c:w val="9.9281512407373859E-2"/>
                      <c:h val="8.2391961153174431E-2"/>
                    </c:manualLayout>
                  </c15:layout>
                  <c15:dlblFieldTable>
                    <c15:dlblFTEntry>
                      <c15:txfldGUID>{ADDC81C7-1C19-4494-8056-00582C639E88}</c15:txfldGUID>
                      <c15:f>'Gauge Chart'!$K$19</c15:f>
                      <c15:dlblFieldTableCache>
                        <c:ptCount val="1"/>
                        <c:pt idx="0">
                          <c:v>29%</c:v>
                        </c:pt>
                      </c15:dlblFieldTableCache>
                    </c15:dlblFTEntry>
                  </c15:dlblFieldTable>
                  <c15:showDataLabelsRange val="0"/>
                </c:ext>
                <c:ext xmlns:c16="http://schemas.microsoft.com/office/drawing/2014/chart" uri="{C3380CC4-5D6E-409C-BE32-E72D297353CC}">
                  <c16:uniqueId val="{0000000E-3445-4E2A-A251-DBB6D5BBF99D}"/>
                </c:ext>
              </c:extLst>
            </c:dLbl>
            <c:dLbl>
              <c:idx val="2"/>
              <c:delete val="1"/>
              <c:extLst>
                <c:ext xmlns:c15="http://schemas.microsoft.com/office/drawing/2012/chart" uri="{CE6537A1-D6FC-4f65-9D91-7224C49458BB}"/>
                <c:ext xmlns:c16="http://schemas.microsoft.com/office/drawing/2014/chart" uri="{C3380CC4-5D6E-409C-BE32-E72D297353CC}">
                  <c16:uniqueId val="{00000010-3445-4E2A-A251-DBB6D5BBF99D}"/>
                </c:ext>
              </c:extLst>
            </c:dLbl>
            <c:spPr>
              <a:noFill/>
              <a:ln>
                <a:noFill/>
              </a:ln>
              <a:effectLst/>
            </c:spPr>
            <c:txPr>
              <a:bodyPr rot="0" spcFirstLastPara="1" vertOverflow="ellipsis" vert="horz" wrap="square" anchor="ctr" anchorCtr="1"/>
              <a:lstStyle/>
              <a:p>
                <a:pPr>
                  <a:defRPr lang="en-US" sz="1000" b="1" i="0" u="none" strike="noStrike" kern="1200" baseline="0">
                    <a:solidFill>
                      <a:srgbClr val="3E5F44"/>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'Gauge Chart'!$K$19:$K$21</c:f>
              <c:numCache>
                <c:formatCode>0%</c:formatCode>
                <c:ptCount val="3"/>
                <c:pt idx="0">
                  <c:v>0.28632478632478631</c:v>
                </c:pt>
                <c:pt idx="1">
                  <c:v>0.02</c:v>
                </c:pt>
                <c:pt idx="2">
                  <c:v>1.6936752136752138</c:v>
                </c:pt>
              </c:numCache>
            </c:numRef>
          </c:val>
          <c:extLst>
            <c:ext xmlns:c16="http://schemas.microsoft.com/office/drawing/2014/chart" uri="{C3380CC4-5D6E-409C-BE32-E72D297353CC}">
              <c16:uniqueId val="{00000011-3445-4E2A-A251-DBB6D5BBF99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3E5F44"/>
                </a:solidFill>
                <a:latin typeface="+mn-lt"/>
                <a:ea typeface="+mn-ea"/>
                <a:cs typeface="+mn-cs"/>
              </a:defRPr>
            </a:pPr>
            <a:r>
              <a:rPr lang="en-GB" b="1">
                <a:solidFill>
                  <a:srgbClr val="3E5F44"/>
                </a:solidFill>
              </a:rPr>
              <a:t>Total Spend by Discount</a:t>
            </a:r>
            <a:r>
              <a:rPr lang="en-GB" b="1" baseline="0">
                <a:solidFill>
                  <a:srgbClr val="3E5F44"/>
                </a:solidFill>
              </a:rPr>
              <a:t> Applied</a:t>
            </a:r>
            <a:endParaRPr lang="en-GB" b="1">
              <a:solidFill>
                <a:srgbClr val="3E5F4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F44"/>
              </a:solidFill>
              <a:latin typeface="+mn-lt"/>
              <a:ea typeface="+mn-ea"/>
              <a:cs typeface="+mn-cs"/>
            </a:defRPr>
          </a:pPr>
          <a:endParaRPr lang="en-GB"/>
        </a:p>
      </c:txPr>
    </c:title>
    <c:autoTitleDeleted val="0"/>
    <c:plotArea>
      <c:layout/>
      <c:barChart>
        <c:barDir val="bar"/>
        <c:grouping val="percentStacked"/>
        <c:varyColors val="0"/>
        <c:ser>
          <c:idx val="0"/>
          <c:order val="0"/>
          <c:tx>
            <c:strRef>
              <c:f>ParetoChart!$B$17</c:f>
              <c:strCache>
                <c:ptCount val="1"/>
                <c:pt idx="0">
                  <c:v>Sum of Total Spend</c:v>
                </c:pt>
              </c:strCache>
            </c:strRef>
          </c:tx>
          <c:spPr>
            <a:solidFill>
              <a:srgbClr val="00B0F0"/>
            </a:solidFill>
            <a:ln>
              <a:noFill/>
            </a:ln>
            <a:effectLst>
              <a:outerShdw blurRad="50800" dist="38100" algn="l" rotWithShape="0">
                <a:prstClr val="black">
                  <a:alpha val="40000"/>
                </a:prstClr>
              </a:outerShdw>
            </a:effectLst>
          </c:spPr>
          <c:invertIfNegative val="0"/>
          <c:dPt>
            <c:idx val="0"/>
            <c:invertIfNegative val="0"/>
            <c:bubble3D val="0"/>
            <c:spPr>
              <a:solidFill>
                <a:srgbClr val="5E936C"/>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0-274B-493F-AF47-CCED831288FC}"/>
              </c:ext>
            </c:extLst>
          </c:dPt>
          <c:dPt>
            <c:idx val="1"/>
            <c:invertIfNegative val="0"/>
            <c:bubble3D val="0"/>
            <c:spPr>
              <a:solidFill>
                <a:srgbClr val="3E5F44"/>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1-274B-493F-AF47-CCED831288FC}"/>
              </c:ext>
            </c:extLst>
          </c:dPt>
          <c:dLbls>
            <c:dLbl>
              <c:idx val="0"/>
              <c:layout>
                <c:manualLayout>
                  <c:x val="0.22545792813040344"/>
                  <c:y val="8.672082279624043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4B-493F-AF47-CCED831288FC}"/>
                </c:ext>
              </c:extLst>
            </c:dLbl>
            <c:dLbl>
              <c:idx val="1"/>
              <c:layout>
                <c:manualLayout>
                  <c:x val="0.22044775194972782"/>
                  <c:y val="-4.336041139812061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4B-493F-AF47-CCED831288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ParetoChart!$A$18:$A$19</c:f>
              <c:strCache>
                <c:ptCount val="2"/>
                <c:pt idx="0">
                  <c:v>No</c:v>
                </c:pt>
                <c:pt idx="1">
                  <c:v>Yes</c:v>
                </c:pt>
              </c:strCache>
            </c:strRef>
          </c:cat>
          <c:val>
            <c:numRef>
              <c:f>ParetoChart!$B$18:$B$19</c:f>
              <c:numCache>
                <c:formatCode>_("$"* #,##0_);_("$"* \(#,##0\);_("$"* "-"??_);_(@_)</c:formatCode>
                <c:ptCount val="2"/>
                <c:pt idx="0">
                  <c:v>158110.69999999995</c:v>
                </c:pt>
                <c:pt idx="1">
                  <c:v>137772.90000000008</c:v>
                </c:pt>
              </c:numCache>
            </c:numRef>
          </c:val>
          <c:extLst>
            <c:ext xmlns:c16="http://schemas.microsoft.com/office/drawing/2014/chart" uri="{C3380CC4-5D6E-409C-BE32-E72D297353CC}">
              <c16:uniqueId val="{00000002-274B-493F-AF47-CCED831288FC}"/>
            </c:ext>
          </c:extLst>
        </c:ser>
        <c:ser>
          <c:idx val="1"/>
          <c:order val="1"/>
          <c:tx>
            <c:strRef>
              <c:f>ParetoChart!$C$17</c:f>
              <c:strCache>
                <c:ptCount val="1"/>
                <c:pt idx="0">
                  <c:v>Grand Total</c:v>
                </c:pt>
              </c:strCache>
            </c:strRef>
          </c:tx>
          <c:spPr>
            <a:solidFill>
              <a:schemeClr val="tx1">
                <a:lumMod val="65000"/>
                <a:lumOff val="35000"/>
                <a:alpha val="9000"/>
              </a:schemeClr>
            </a:solidFill>
            <a:ln>
              <a:noFill/>
            </a:ln>
            <a:effectLst/>
          </c:spPr>
          <c:invertIfNegative val="0"/>
          <c:dLbls>
            <c:delete val="1"/>
          </c:dLbls>
          <c:cat>
            <c:strRef>
              <c:f>ParetoChart!$A$18:$A$19</c:f>
              <c:strCache>
                <c:ptCount val="2"/>
                <c:pt idx="0">
                  <c:v>No</c:v>
                </c:pt>
                <c:pt idx="1">
                  <c:v>Yes</c:v>
                </c:pt>
              </c:strCache>
            </c:strRef>
          </c:cat>
          <c:val>
            <c:numRef>
              <c:f>ParetoChart!$C$18:$C$19</c:f>
              <c:numCache>
                <c:formatCode>_("$"* #,##0_);_("$"* \(#,##0\);_("$"* "-"??_);_(@_)</c:formatCode>
                <c:ptCount val="2"/>
                <c:pt idx="0">
                  <c:v>295883.60000000003</c:v>
                </c:pt>
                <c:pt idx="1">
                  <c:v>295883.60000000003</c:v>
                </c:pt>
              </c:numCache>
            </c:numRef>
          </c:val>
          <c:extLst>
            <c:ext xmlns:c16="http://schemas.microsoft.com/office/drawing/2014/chart" uri="{C3380CC4-5D6E-409C-BE32-E72D297353CC}">
              <c16:uniqueId val="{00000003-274B-493F-AF47-CCED831288FC}"/>
            </c:ext>
          </c:extLst>
        </c:ser>
        <c:dLbls>
          <c:dLblPos val="ctr"/>
          <c:showLegendKey val="0"/>
          <c:showVal val="1"/>
          <c:showCatName val="0"/>
          <c:showSerName val="0"/>
          <c:showPercent val="0"/>
          <c:showBubbleSize val="0"/>
        </c:dLbls>
        <c:gapWidth val="150"/>
        <c:overlap val="100"/>
        <c:axId val="231064143"/>
        <c:axId val="231066543"/>
      </c:barChart>
      <c:catAx>
        <c:axId val="23106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66543"/>
        <c:crosses val="autoZero"/>
        <c:auto val="1"/>
        <c:lblAlgn val="ctr"/>
        <c:lblOffset val="100"/>
        <c:noMultiLvlLbl val="0"/>
      </c:catAx>
      <c:valAx>
        <c:axId val="231066543"/>
        <c:scaling>
          <c:orientation val="minMax"/>
        </c:scaling>
        <c:delete val="1"/>
        <c:axPos val="b"/>
        <c:numFmt formatCode="0%" sourceLinked="0"/>
        <c:majorTickMark val="none"/>
        <c:minorTickMark val="none"/>
        <c:tickLblPos val="nextTo"/>
        <c:crossAx val="2310641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Bronze Members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'Gauge Chart'!$B$19</c:f>
              <c:strCache>
                <c:ptCount val="1"/>
                <c:pt idx="0">
                  <c:v>Range</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2-D51E-401C-B6CA-78ECD93BEF9F}"/>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D51E-401C-B6CA-78ECD93BEF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44-4A1B-AB80-1369B6E2F76F}"/>
              </c:ext>
            </c:extLst>
          </c:dPt>
          <c:dPt>
            <c:idx val="3"/>
            <c:bubble3D val="0"/>
            <c:spPr>
              <a:noFill/>
              <a:ln w="19050">
                <a:solidFill>
                  <a:schemeClr val="lt1"/>
                </a:solidFill>
              </a:ln>
              <a:effectLst/>
            </c:spPr>
            <c:extLst>
              <c:ext xmlns:c16="http://schemas.microsoft.com/office/drawing/2014/chart" uri="{C3380CC4-5D6E-409C-BE32-E72D297353CC}">
                <c16:uniqueId val="{00000001-D51E-401C-B6CA-78ECD93BEF9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44-4A1B-AB80-1369B6E2F76F}"/>
              </c:ext>
            </c:extLst>
          </c:dPt>
          <c:cat>
            <c:strRef>
              <c:f>'Gauge Chart'!$A$21:$A$25</c:f>
              <c:strCache>
                <c:ptCount val="4"/>
                <c:pt idx="0">
                  <c:v>Poor</c:v>
                </c:pt>
                <c:pt idx="1">
                  <c:v>Average</c:v>
                </c:pt>
                <c:pt idx="2">
                  <c:v>Good </c:v>
                </c:pt>
                <c:pt idx="3">
                  <c:v>Max Value</c:v>
                </c:pt>
              </c:strCache>
            </c:strRef>
          </c:cat>
          <c:val>
            <c:numRef>
              <c:f>'Gauge Chart'!$B$21:$B$25</c:f>
              <c:numCache>
                <c:formatCode>0%</c:formatCode>
                <c:ptCount val="5"/>
                <c:pt idx="0">
                  <c:v>0.25</c:v>
                </c:pt>
                <c:pt idx="1">
                  <c:v>0.5</c:v>
                </c:pt>
                <c:pt idx="2">
                  <c:v>0.25</c:v>
                </c:pt>
                <c:pt idx="3">
                  <c:v>1</c:v>
                </c:pt>
              </c:numCache>
            </c:numRef>
          </c:val>
          <c:extLst>
            <c:ext xmlns:c16="http://schemas.microsoft.com/office/drawing/2014/chart" uri="{C3380CC4-5D6E-409C-BE32-E72D297353CC}">
              <c16:uniqueId val="{00000000-D51E-401C-B6CA-78ECD93BEF9F}"/>
            </c:ext>
          </c:extLst>
        </c:ser>
        <c:dLbls>
          <c:showLegendKey val="0"/>
          <c:showVal val="0"/>
          <c:showCatName val="0"/>
          <c:showSerName val="0"/>
          <c:showPercent val="0"/>
          <c:showBubbleSize val="0"/>
          <c:showLeaderLines val="1"/>
        </c:dLbls>
        <c:firstSliceAng val="270"/>
        <c:holeSize val="55"/>
      </c:doughnutChart>
      <c:pieChart>
        <c:varyColors val="1"/>
        <c:ser>
          <c:idx val="1"/>
          <c:order val="1"/>
          <c:tx>
            <c:v>ticker</c:v>
          </c:tx>
          <c:spPr>
            <a:ln w="12700"/>
          </c:spPr>
          <c:dPt>
            <c:idx val="0"/>
            <c:bubble3D val="0"/>
            <c:spPr>
              <a:noFill/>
              <a:ln w="12700">
                <a:solidFill>
                  <a:schemeClr val="lt1"/>
                </a:solidFill>
              </a:ln>
              <a:effectLst/>
            </c:spPr>
            <c:extLst>
              <c:ext xmlns:c16="http://schemas.microsoft.com/office/drawing/2014/chart" uri="{C3380CC4-5D6E-409C-BE32-E72D297353CC}">
                <c16:uniqueId val="{00000007-D51E-401C-B6CA-78ECD93BEF9F}"/>
              </c:ext>
            </c:extLst>
          </c:dPt>
          <c:dPt>
            <c:idx val="1"/>
            <c:bubble3D val="0"/>
            <c:explosion val="5"/>
            <c:spPr>
              <a:solidFill>
                <a:schemeClr val="tx1"/>
              </a:solidFill>
              <a:ln w="12700">
                <a:solidFill>
                  <a:schemeClr val="lt1"/>
                </a:solidFill>
              </a:ln>
              <a:effectLst/>
            </c:spPr>
            <c:extLst>
              <c:ext xmlns:c16="http://schemas.microsoft.com/office/drawing/2014/chart" uri="{C3380CC4-5D6E-409C-BE32-E72D297353CC}">
                <c16:uniqueId val="{00000008-D51E-401C-B6CA-78ECD93BEF9F}"/>
              </c:ext>
            </c:extLst>
          </c:dPt>
          <c:dPt>
            <c:idx val="2"/>
            <c:bubble3D val="0"/>
            <c:spPr>
              <a:noFill/>
              <a:ln w="12700">
                <a:solidFill>
                  <a:schemeClr val="lt1"/>
                </a:solidFill>
              </a:ln>
              <a:effectLst/>
            </c:spPr>
            <c:extLst>
              <c:ext xmlns:c16="http://schemas.microsoft.com/office/drawing/2014/chart" uri="{C3380CC4-5D6E-409C-BE32-E72D297353CC}">
                <c16:uniqueId val="{00000006-D51E-401C-B6CA-78ECD93BEF9F}"/>
              </c:ext>
            </c:extLst>
          </c:dPt>
          <c:dLbls>
            <c:dLbl>
              <c:idx val="0"/>
              <c:delete val="1"/>
              <c:extLst>
                <c:ext xmlns:c15="http://schemas.microsoft.com/office/drawing/2012/chart" uri="{CE6537A1-D6FC-4f65-9D91-7224C49458BB}"/>
                <c:ext xmlns:c16="http://schemas.microsoft.com/office/drawing/2014/chart" uri="{C3380CC4-5D6E-409C-BE32-E72D297353CC}">
                  <c16:uniqueId val="{00000007-D51E-401C-B6CA-78ECD93BEF9F}"/>
                </c:ext>
              </c:extLst>
            </c:dLbl>
            <c:dLbl>
              <c:idx val="1"/>
              <c:tx>
                <c:strRef>
                  <c:f>'Gauge Chart'!$E$19</c:f>
                  <c:strCache>
                    <c:ptCount val="1"/>
                    <c:pt idx="0">
                      <c:v>25%</c:v>
                    </c:pt>
                  </c:strCache>
                </c:strRef>
              </c:tx>
              <c:showLegendKey val="0"/>
              <c:showVal val="1"/>
              <c:showCatName val="0"/>
              <c:showSerName val="0"/>
              <c:showPercent val="0"/>
              <c:showBubbleSize val="0"/>
              <c:extLst>
                <c:ext xmlns:c15="http://schemas.microsoft.com/office/drawing/2012/chart" uri="{CE6537A1-D6FC-4f65-9D91-7224C49458BB}">
                  <c15:layout>
                    <c:manualLayout>
                      <c:w val="7.3857252495891992E-2"/>
                      <c:h val="7.5810435442406621E-2"/>
                    </c:manualLayout>
                  </c15:layout>
                  <c15:dlblFieldTable>
                    <c15:dlblFTEntry>
                      <c15:txfldGUID>{E688B65B-3BAF-4CA1-BC50-41514B7BE2C0}</c15:txfldGUID>
                      <c15:f>'Gauge Chart'!$E$19</c15:f>
                      <c15:dlblFieldTableCache>
                        <c:ptCount val="1"/>
                        <c:pt idx="0">
                          <c:v>25%</c:v>
                        </c:pt>
                      </c15:dlblFieldTableCache>
                    </c15:dlblFTEntry>
                  </c15:dlblFieldTable>
                  <c15:showDataLabelsRange val="0"/>
                </c:ext>
                <c:ext xmlns:c16="http://schemas.microsoft.com/office/drawing/2014/chart" uri="{C3380CC4-5D6E-409C-BE32-E72D297353CC}">
                  <c16:uniqueId val="{00000008-D51E-401C-B6CA-78ECD93BEF9F}"/>
                </c:ext>
              </c:extLst>
            </c:dLbl>
            <c:dLbl>
              <c:idx val="2"/>
              <c:delete val="1"/>
              <c:extLst>
                <c:ext xmlns:c15="http://schemas.microsoft.com/office/drawing/2012/chart" uri="{CE6537A1-D6FC-4f65-9D91-7224C49458BB}"/>
                <c:ext xmlns:c16="http://schemas.microsoft.com/office/drawing/2014/chart" uri="{C3380CC4-5D6E-409C-BE32-E72D297353CC}">
                  <c16:uniqueId val="{00000006-D51E-401C-B6CA-78ECD93BEF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'Gauge Chart'!$E$19:$E$21</c:f>
              <c:numCache>
                <c:formatCode>0%</c:formatCode>
                <c:ptCount val="3"/>
                <c:pt idx="0">
                  <c:v>0.24561403508771928</c:v>
                </c:pt>
                <c:pt idx="1">
                  <c:v>0.03</c:v>
                </c:pt>
                <c:pt idx="2">
                  <c:v>1.7243859649122806</c:v>
                </c:pt>
              </c:numCache>
            </c:numRef>
          </c:val>
          <c:extLst>
            <c:ext xmlns:c16="http://schemas.microsoft.com/office/drawing/2014/chart" uri="{C3380CC4-5D6E-409C-BE32-E72D297353CC}">
              <c16:uniqueId val="{00000005-D51E-401C-B6CA-78ECD93BEF9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Gold Members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'Gauge Chart'!$B$19</c:f>
              <c:strCache>
                <c:ptCount val="1"/>
                <c:pt idx="0">
                  <c:v>Range</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6EE7-4F9C-8C89-426D9ABF4D10}"/>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6EE7-4F9C-8C89-426D9ABF4D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E7-4F9C-8C89-426D9ABF4D10}"/>
              </c:ext>
            </c:extLst>
          </c:dPt>
          <c:dPt>
            <c:idx val="3"/>
            <c:bubble3D val="0"/>
            <c:spPr>
              <a:noFill/>
              <a:ln w="19050">
                <a:solidFill>
                  <a:schemeClr val="lt1"/>
                </a:solidFill>
              </a:ln>
              <a:effectLst/>
            </c:spPr>
            <c:extLst>
              <c:ext xmlns:c16="http://schemas.microsoft.com/office/drawing/2014/chart" uri="{C3380CC4-5D6E-409C-BE32-E72D297353CC}">
                <c16:uniqueId val="{00000007-6EE7-4F9C-8C89-426D9ABF4D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E7-4F9C-8C89-426D9ABF4D10}"/>
              </c:ext>
            </c:extLst>
          </c:dPt>
          <c:cat>
            <c:strRef>
              <c:f>'Gauge Chart'!$A$21:$A$25</c:f>
              <c:strCache>
                <c:ptCount val="4"/>
                <c:pt idx="0">
                  <c:v>Poor</c:v>
                </c:pt>
                <c:pt idx="1">
                  <c:v>Average</c:v>
                </c:pt>
                <c:pt idx="2">
                  <c:v>Good </c:v>
                </c:pt>
                <c:pt idx="3">
                  <c:v>Max Value</c:v>
                </c:pt>
              </c:strCache>
            </c:strRef>
          </c:cat>
          <c:val>
            <c:numRef>
              <c:f>'Gauge Chart'!$B$21:$B$25</c:f>
              <c:numCache>
                <c:formatCode>0%</c:formatCode>
                <c:ptCount val="5"/>
                <c:pt idx="0">
                  <c:v>0.25</c:v>
                </c:pt>
                <c:pt idx="1">
                  <c:v>0.5</c:v>
                </c:pt>
                <c:pt idx="2">
                  <c:v>0.25</c:v>
                </c:pt>
                <c:pt idx="3">
                  <c:v>1</c:v>
                </c:pt>
              </c:numCache>
            </c:numRef>
          </c:val>
          <c:extLst>
            <c:ext xmlns:c16="http://schemas.microsoft.com/office/drawing/2014/chart" uri="{C3380CC4-5D6E-409C-BE32-E72D297353CC}">
              <c16:uniqueId val="{0000000A-6EE7-4F9C-8C89-426D9ABF4D10}"/>
            </c:ext>
          </c:extLst>
        </c:ser>
        <c:dLbls>
          <c:showLegendKey val="0"/>
          <c:showVal val="0"/>
          <c:showCatName val="0"/>
          <c:showSerName val="0"/>
          <c:showPercent val="0"/>
          <c:showBubbleSize val="0"/>
          <c:showLeaderLines val="1"/>
        </c:dLbls>
        <c:firstSliceAng val="270"/>
        <c:holeSize val="55"/>
      </c:doughnutChart>
      <c:pieChart>
        <c:varyColors val="1"/>
        <c:ser>
          <c:idx val="1"/>
          <c:order val="1"/>
          <c:tx>
            <c:v>ticker</c:v>
          </c:tx>
          <c:spPr>
            <a:ln w="12700"/>
          </c:spPr>
          <c:dPt>
            <c:idx val="0"/>
            <c:bubble3D val="0"/>
            <c:spPr>
              <a:noFill/>
              <a:ln w="12700">
                <a:solidFill>
                  <a:schemeClr val="lt1"/>
                </a:solidFill>
              </a:ln>
              <a:effectLst/>
            </c:spPr>
            <c:extLst>
              <c:ext xmlns:c16="http://schemas.microsoft.com/office/drawing/2014/chart" uri="{C3380CC4-5D6E-409C-BE32-E72D297353CC}">
                <c16:uniqueId val="{0000000C-6EE7-4F9C-8C89-426D9ABF4D10}"/>
              </c:ext>
            </c:extLst>
          </c:dPt>
          <c:dPt>
            <c:idx val="1"/>
            <c:bubble3D val="0"/>
            <c:explosion val="5"/>
            <c:spPr>
              <a:solidFill>
                <a:schemeClr val="tx1"/>
              </a:solidFill>
              <a:ln w="12700">
                <a:solidFill>
                  <a:schemeClr val="lt1"/>
                </a:solidFill>
              </a:ln>
              <a:effectLst/>
            </c:spPr>
            <c:extLst>
              <c:ext xmlns:c16="http://schemas.microsoft.com/office/drawing/2014/chart" uri="{C3380CC4-5D6E-409C-BE32-E72D297353CC}">
                <c16:uniqueId val="{0000000E-6EE7-4F9C-8C89-426D9ABF4D10}"/>
              </c:ext>
            </c:extLst>
          </c:dPt>
          <c:dPt>
            <c:idx val="2"/>
            <c:bubble3D val="0"/>
            <c:spPr>
              <a:noFill/>
              <a:ln w="12700">
                <a:solidFill>
                  <a:schemeClr val="lt1"/>
                </a:solidFill>
              </a:ln>
              <a:effectLst/>
            </c:spPr>
            <c:extLst>
              <c:ext xmlns:c16="http://schemas.microsoft.com/office/drawing/2014/chart" uri="{C3380CC4-5D6E-409C-BE32-E72D297353CC}">
                <c16:uniqueId val="{00000010-6EE7-4F9C-8C89-426D9ABF4D10}"/>
              </c:ext>
            </c:extLst>
          </c:dPt>
          <c:dLbls>
            <c:dLbl>
              <c:idx val="0"/>
              <c:delete val="1"/>
              <c:extLst>
                <c:ext xmlns:c15="http://schemas.microsoft.com/office/drawing/2012/chart" uri="{CE6537A1-D6FC-4f65-9D91-7224C49458BB}"/>
                <c:ext xmlns:c16="http://schemas.microsoft.com/office/drawing/2014/chart" uri="{C3380CC4-5D6E-409C-BE32-E72D297353CC}">
                  <c16:uniqueId val="{0000000C-6EE7-4F9C-8C89-426D9ABF4D10}"/>
                </c:ext>
              </c:extLst>
            </c:dLbl>
            <c:dLbl>
              <c:idx val="1"/>
              <c:tx>
                <c:strRef>
                  <c:f>'Gauge Chart'!$H$19</c:f>
                  <c:strCache>
                    <c:ptCount val="1"/>
                    <c:pt idx="0">
                      <c:v>100%</c:v>
                    </c:pt>
                  </c:strCache>
                </c:strRef>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281512407373859E-2"/>
                      <c:h val="8.2391961153174431E-2"/>
                    </c:manualLayout>
                  </c15:layout>
                  <c15:dlblFieldTable>
                    <c15:dlblFTEntry>
                      <c15:txfldGUID>{859DF3C0-7FB1-451B-9B34-202A4635C062}</c15:txfldGUID>
                      <c15:f>'Gauge Chart'!$H$19</c15:f>
                      <c15:dlblFieldTableCache>
                        <c:ptCount val="1"/>
                        <c:pt idx="0">
                          <c:v>100%</c:v>
                        </c:pt>
                      </c15:dlblFieldTableCache>
                    </c15:dlblFTEntry>
                  </c15:dlblFieldTable>
                  <c15:showDataLabelsRange val="0"/>
                </c:ext>
                <c:ext xmlns:c16="http://schemas.microsoft.com/office/drawing/2014/chart" uri="{C3380CC4-5D6E-409C-BE32-E72D297353CC}">
                  <c16:uniqueId val="{0000000E-6EE7-4F9C-8C89-426D9ABF4D10}"/>
                </c:ext>
              </c:extLst>
            </c:dLbl>
            <c:dLbl>
              <c:idx val="2"/>
              <c:delete val="1"/>
              <c:extLst>
                <c:ext xmlns:c15="http://schemas.microsoft.com/office/drawing/2012/chart" uri="{CE6537A1-D6FC-4f65-9D91-7224C49458BB}"/>
                <c:ext xmlns:c16="http://schemas.microsoft.com/office/drawing/2014/chart" uri="{C3380CC4-5D6E-409C-BE32-E72D297353CC}">
                  <c16:uniqueId val="{00000010-6EE7-4F9C-8C89-426D9ABF4D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'Gauge Chart'!$H$19:$H$21</c:f>
              <c:numCache>
                <c:formatCode>0%</c:formatCode>
                <c:ptCount val="3"/>
                <c:pt idx="0">
                  <c:v>1</c:v>
                </c:pt>
                <c:pt idx="1">
                  <c:v>0.02</c:v>
                </c:pt>
                <c:pt idx="2">
                  <c:v>0.98</c:v>
                </c:pt>
              </c:numCache>
            </c:numRef>
          </c:val>
          <c:extLst>
            <c:ext xmlns:c16="http://schemas.microsoft.com/office/drawing/2014/chart" uri="{C3380CC4-5D6E-409C-BE32-E72D297353CC}">
              <c16:uniqueId val="{00000011-6EE7-4F9C-8C89-426D9ABF4D1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Silver Members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'Gauge Chart'!$B$19</c:f>
              <c:strCache>
                <c:ptCount val="1"/>
                <c:pt idx="0">
                  <c:v>Range</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0B4F-4CA4-9864-D9B4D36E7FCD}"/>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0B4F-4CA4-9864-D9B4D36E7F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4F-4CA4-9864-D9B4D36E7FCD}"/>
              </c:ext>
            </c:extLst>
          </c:dPt>
          <c:dPt>
            <c:idx val="3"/>
            <c:bubble3D val="0"/>
            <c:spPr>
              <a:noFill/>
              <a:ln w="19050">
                <a:solidFill>
                  <a:schemeClr val="lt1"/>
                </a:solidFill>
              </a:ln>
              <a:effectLst/>
            </c:spPr>
            <c:extLst>
              <c:ext xmlns:c16="http://schemas.microsoft.com/office/drawing/2014/chart" uri="{C3380CC4-5D6E-409C-BE32-E72D297353CC}">
                <c16:uniqueId val="{00000007-0B4F-4CA4-9864-D9B4D36E7F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4F-4CA4-9864-D9B4D36E7FCD}"/>
              </c:ext>
            </c:extLst>
          </c:dPt>
          <c:cat>
            <c:strRef>
              <c:f>'Gauge Chart'!$A$21:$A$25</c:f>
              <c:strCache>
                <c:ptCount val="4"/>
                <c:pt idx="0">
                  <c:v>Poor</c:v>
                </c:pt>
                <c:pt idx="1">
                  <c:v>Average</c:v>
                </c:pt>
                <c:pt idx="2">
                  <c:v>Good </c:v>
                </c:pt>
                <c:pt idx="3">
                  <c:v>Max Value</c:v>
                </c:pt>
              </c:strCache>
            </c:strRef>
          </c:cat>
          <c:val>
            <c:numRef>
              <c:f>'Gauge Chart'!$B$21:$B$25</c:f>
              <c:numCache>
                <c:formatCode>0%</c:formatCode>
                <c:ptCount val="5"/>
                <c:pt idx="0">
                  <c:v>0.25</c:v>
                </c:pt>
                <c:pt idx="1">
                  <c:v>0.5</c:v>
                </c:pt>
                <c:pt idx="2">
                  <c:v>0.25</c:v>
                </c:pt>
                <c:pt idx="3">
                  <c:v>1</c:v>
                </c:pt>
              </c:numCache>
            </c:numRef>
          </c:val>
          <c:extLst>
            <c:ext xmlns:c16="http://schemas.microsoft.com/office/drawing/2014/chart" uri="{C3380CC4-5D6E-409C-BE32-E72D297353CC}">
              <c16:uniqueId val="{0000000A-0B4F-4CA4-9864-D9B4D36E7FCD}"/>
            </c:ext>
          </c:extLst>
        </c:ser>
        <c:dLbls>
          <c:showLegendKey val="0"/>
          <c:showVal val="0"/>
          <c:showCatName val="0"/>
          <c:showSerName val="0"/>
          <c:showPercent val="0"/>
          <c:showBubbleSize val="0"/>
          <c:showLeaderLines val="1"/>
        </c:dLbls>
        <c:firstSliceAng val="270"/>
        <c:holeSize val="55"/>
      </c:doughnutChart>
      <c:pieChart>
        <c:varyColors val="1"/>
        <c:ser>
          <c:idx val="1"/>
          <c:order val="1"/>
          <c:tx>
            <c:v>ticker</c:v>
          </c:tx>
          <c:spPr>
            <a:ln w="12700"/>
          </c:spPr>
          <c:dPt>
            <c:idx val="0"/>
            <c:bubble3D val="0"/>
            <c:spPr>
              <a:noFill/>
              <a:ln w="12700">
                <a:solidFill>
                  <a:schemeClr val="lt1"/>
                </a:solidFill>
              </a:ln>
              <a:effectLst/>
            </c:spPr>
            <c:extLst>
              <c:ext xmlns:c16="http://schemas.microsoft.com/office/drawing/2014/chart" uri="{C3380CC4-5D6E-409C-BE32-E72D297353CC}">
                <c16:uniqueId val="{0000000C-0B4F-4CA4-9864-D9B4D36E7FCD}"/>
              </c:ext>
            </c:extLst>
          </c:dPt>
          <c:dPt>
            <c:idx val="1"/>
            <c:bubble3D val="0"/>
            <c:explosion val="5"/>
            <c:spPr>
              <a:solidFill>
                <a:schemeClr val="tx1"/>
              </a:solidFill>
              <a:ln w="12700">
                <a:solidFill>
                  <a:schemeClr val="lt1"/>
                </a:solidFill>
              </a:ln>
              <a:effectLst/>
            </c:spPr>
            <c:extLst>
              <c:ext xmlns:c16="http://schemas.microsoft.com/office/drawing/2014/chart" uri="{C3380CC4-5D6E-409C-BE32-E72D297353CC}">
                <c16:uniqueId val="{0000000E-0B4F-4CA4-9864-D9B4D36E7FCD}"/>
              </c:ext>
            </c:extLst>
          </c:dPt>
          <c:dPt>
            <c:idx val="2"/>
            <c:bubble3D val="0"/>
            <c:spPr>
              <a:noFill/>
              <a:ln w="12700">
                <a:solidFill>
                  <a:schemeClr val="lt1"/>
                </a:solidFill>
              </a:ln>
              <a:effectLst/>
            </c:spPr>
            <c:extLst>
              <c:ext xmlns:c16="http://schemas.microsoft.com/office/drawing/2014/chart" uri="{C3380CC4-5D6E-409C-BE32-E72D297353CC}">
                <c16:uniqueId val="{00000010-0B4F-4CA4-9864-D9B4D36E7FCD}"/>
              </c:ext>
            </c:extLst>
          </c:dPt>
          <c:dLbls>
            <c:dLbl>
              <c:idx val="0"/>
              <c:delete val="1"/>
              <c:extLst>
                <c:ext xmlns:c15="http://schemas.microsoft.com/office/drawing/2012/chart" uri="{CE6537A1-D6FC-4f65-9D91-7224C49458BB}"/>
                <c:ext xmlns:c16="http://schemas.microsoft.com/office/drawing/2014/chart" uri="{C3380CC4-5D6E-409C-BE32-E72D297353CC}">
                  <c16:uniqueId val="{0000000C-0B4F-4CA4-9864-D9B4D36E7FCD}"/>
                </c:ext>
              </c:extLst>
            </c:dLbl>
            <c:dLbl>
              <c:idx val="1"/>
              <c:tx>
                <c:strRef>
                  <c:f>'Gauge Chart'!$K$19</c:f>
                  <c:strCache>
                    <c:ptCount val="1"/>
                    <c:pt idx="0">
                      <c:v>29%</c:v>
                    </c:pt>
                  </c:strCache>
                </c:strRef>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281512407373859E-2"/>
                      <c:h val="8.2391961153174431E-2"/>
                    </c:manualLayout>
                  </c15:layout>
                  <c15:dlblFieldTable>
                    <c15:dlblFTEntry>
                      <c15:txfldGUID>{72359BB2-A88E-4D1B-A4F8-6877CCD624B4}</c15:txfldGUID>
                      <c15:f>'Gauge Chart'!$K$19</c15:f>
                      <c15:dlblFieldTableCache>
                        <c:ptCount val="1"/>
                        <c:pt idx="0">
                          <c:v>29%</c:v>
                        </c:pt>
                      </c15:dlblFieldTableCache>
                    </c15:dlblFTEntry>
                  </c15:dlblFieldTable>
                  <c15:showDataLabelsRange val="0"/>
                </c:ext>
                <c:ext xmlns:c16="http://schemas.microsoft.com/office/drawing/2014/chart" uri="{C3380CC4-5D6E-409C-BE32-E72D297353CC}">
                  <c16:uniqueId val="{0000000E-0B4F-4CA4-9864-D9B4D36E7FCD}"/>
                </c:ext>
              </c:extLst>
            </c:dLbl>
            <c:dLbl>
              <c:idx val="2"/>
              <c:delete val="1"/>
              <c:extLst>
                <c:ext xmlns:c15="http://schemas.microsoft.com/office/drawing/2012/chart" uri="{CE6537A1-D6FC-4f65-9D91-7224C49458BB}"/>
                <c:ext xmlns:c16="http://schemas.microsoft.com/office/drawing/2014/chart" uri="{C3380CC4-5D6E-409C-BE32-E72D297353CC}">
                  <c16:uniqueId val="{00000010-0B4F-4CA4-9864-D9B4D36E7F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'Gauge Chart'!$K$19:$K$21</c:f>
              <c:numCache>
                <c:formatCode>0%</c:formatCode>
                <c:ptCount val="3"/>
                <c:pt idx="0">
                  <c:v>0.28632478632478631</c:v>
                </c:pt>
                <c:pt idx="1">
                  <c:v>0.02</c:v>
                </c:pt>
                <c:pt idx="2">
                  <c:v>1.6936752136752138</c:v>
                </c:pt>
              </c:numCache>
            </c:numRef>
          </c:val>
          <c:extLst>
            <c:ext xmlns:c16="http://schemas.microsoft.com/office/drawing/2014/chart" uri="{C3380CC4-5D6E-409C-BE32-E72D297353CC}">
              <c16:uniqueId val="{00000011-0B4F-4CA4-9864-D9B4D36E7FC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Sheet1.csv.xlsx]Pie Chart!PivotTable1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The recency of customer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AD-4EE7-9FA2-62CE1A0C23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AD-4EE7-9FA2-62CE1A0C23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AD-4EE7-9FA2-62CE1A0C23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Chart'!$A$4:$A$6</c:f>
              <c:strCache>
                <c:ptCount val="3"/>
                <c:pt idx="0">
                  <c:v>Active</c:v>
                </c:pt>
                <c:pt idx="1">
                  <c:v>Inactive</c:v>
                </c:pt>
                <c:pt idx="2">
                  <c:v>Moderately Active</c:v>
                </c:pt>
              </c:strCache>
            </c:strRef>
          </c:cat>
          <c:val>
            <c:numRef>
              <c:f>'Pie Chart'!$B$4:$B$6</c:f>
              <c:numCache>
                <c:formatCode>General</c:formatCode>
                <c:ptCount val="3"/>
                <c:pt idx="0">
                  <c:v>147</c:v>
                </c:pt>
                <c:pt idx="1">
                  <c:v>47</c:v>
                </c:pt>
                <c:pt idx="2">
                  <c:v>156</c:v>
                </c:pt>
              </c:numCache>
            </c:numRef>
          </c:val>
          <c:extLst>
            <c:ext xmlns:c16="http://schemas.microsoft.com/office/drawing/2014/chart" uri="{C3380CC4-5D6E-409C-BE32-E72D297353CC}">
              <c16:uniqueId val="{00000007-5DB0-4530-9CA7-7025156FA3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Spend by Discount</a:t>
            </a:r>
            <a:r>
              <a:rPr lang="en-GB" baseline="0"/>
              <a:t> Applied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percentStacked"/>
        <c:varyColors val="0"/>
        <c:ser>
          <c:idx val="0"/>
          <c:order val="0"/>
          <c:tx>
            <c:strRef>
              <c:f>ParetoChart!$B$17</c:f>
              <c:strCache>
                <c:ptCount val="1"/>
                <c:pt idx="0">
                  <c:v>Sum of Total Spend</c:v>
                </c:pt>
              </c:strCache>
            </c:strRef>
          </c:tx>
          <c:spPr>
            <a:solidFill>
              <a:srgbClr val="00B0F0"/>
            </a:solidFill>
            <a:ln>
              <a:noFill/>
            </a:ln>
            <a:effectLst/>
          </c:spPr>
          <c:invertIfNegative val="0"/>
          <c:dLbls>
            <c:dLbl>
              <c:idx val="0"/>
              <c:layout>
                <c:manualLayout>
                  <c:x val="0.22545792813040344"/>
                  <c:y val="8.672082279624043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30-47F9-87F7-B8AA1A36BDC5}"/>
                </c:ext>
              </c:extLst>
            </c:dLbl>
            <c:dLbl>
              <c:idx val="1"/>
              <c:layout>
                <c:manualLayout>
                  <c:x val="0.22044775194972782"/>
                  <c:y val="-4.336041139812061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30-47F9-87F7-B8AA1A36BD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ParetoChart!$A$18:$A$19</c:f>
              <c:strCache>
                <c:ptCount val="2"/>
                <c:pt idx="0">
                  <c:v>No</c:v>
                </c:pt>
                <c:pt idx="1">
                  <c:v>Yes</c:v>
                </c:pt>
              </c:strCache>
            </c:strRef>
          </c:cat>
          <c:val>
            <c:numRef>
              <c:f>ParetoChart!$B$18:$B$19</c:f>
              <c:numCache>
                <c:formatCode>_("$"* #,##0_);_("$"* \(#,##0\);_("$"* "-"??_);_(@_)</c:formatCode>
                <c:ptCount val="2"/>
                <c:pt idx="0">
                  <c:v>158110.69999999995</c:v>
                </c:pt>
                <c:pt idx="1">
                  <c:v>137772.90000000008</c:v>
                </c:pt>
              </c:numCache>
            </c:numRef>
          </c:val>
          <c:extLst>
            <c:ext xmlns:c16="http://schemas.microsoft.com/office/drawing/2014/chart" uri="{C3380CC4-5D6E-409C-BE32-E72D297353CC}">
              <c16:uniqueId val="{00000000-3530-47F9-87F7-B8AA1A36BDC5}"/>
            </c:ext>
          </c:extLst>
        </c:ser>
        <c:ser>
          <c:idx val="1"/>
          <c:order val="1"/>
          <c:tx>
            <c:strRef>
              <c:f>ParetoChart!$C$17</c:f>
              <c:strCache>
                <c:ptCount val="1"/>
                <c:pt idx="0">
                  <c:v>Grand Total</c:v>
                </c:pt>
              </c:strCache>
            </c:strRef>
          </c:tx>
          <c:spPr>
            <a:solidFill>
              <a:schemeClr val="tx1">
                <a:lumMod val="65000"/>
                <a:lumOff val="35000"/>
                <a:alpha val="15000"/>
              </a:schemeClr>
            </a:solidFill>
            <a:ln>
              <a:noFill/>
            </a:ln>
            <a:effectLst/>
          </c:spPr>
          <c:invertIfNegative val="0"/>
          <c:dLbls>
            <c:delete val="1"/>
          </c:dLbls>
          <c:cat>
            <c:strRef>
              <c:f>ParetoChart!$A$18:$A$19</c:f>
              <c:strCache>
                <c:ptCount val="2"/>
                <c:pt idx="0">
                  <c:v>No</c:v>
                </c:pt>
                <c:pt idx="1">
                  <c:v>Yes</c:v>
                </c:pt>
              </c:strCache>
            </c:strRef>
          </c:cat>
          <c:val>
            <c:numRef>
              <c:f>ParetoChart!$C$18:$C$19</c:f>
              <c:numCache>
                <c:formatCode>_("$"* #,##0_);_("$"* \(#,##0\);_("$"* "-"??_);_(@_)</c:formatCode>
                <c:ptCount val="2"/>
                <c:pt idx="0">
                  <c:v>295883.60000000003</c:v>
                </c:pt>
                <c:pt idx="1">
                  <c:v>295883.60000000003</c:v>
                </c:pt>
              </c:numCache>
            </c:numRef>
          </c:val>
          <c:extLst>
            <c:ext xmlns:c16="http://schemas.microsoft.com/office/drawing/2014/chart" uri="{C3380CC4-5D6E-409C-BE32-E72D297353CC}">
              <c16:uniqueId val="{00000001-3530-47F9-87F7-B8AA1A36BDC5}"/>
            </c:ext>
          </c:extLst>
        </c:ser>
        <c:dLbls>
          <c:dLblPos val="ctr"/>
          <c:showLegendKey val="0"/>
          <c:showVal val="1"/>
          <c:showCatName val="0"/>
          <c:showSerName val="0"/>
          <c:showPercent val="0"/>
          <c:showBubbleSize val="0"/>
        </c:dLbls>
        <c:gapWidth val="150"/>
        <c:overlap val="100"/>
        <c:axId val="231064143"/>
        <c:axId val="231066543"/>
      </c:barChart>
      <c:catAx>
        <c:axId val="23106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66543"/>
        <c:crosses val="autoZero"/>
        <c:auto val="1"/>
        <c:lblAlgn val="ctr"/>
        <c:lblOffset val="100"/>
        <c:noMultiLvlLbl val="0"/>
      </c:catAx>
      <c:valAx>
        <c:axId val="231066543"/>
        <c:scaling>
          <c:orientation val="minMax"/>
        </c:scaling>
        <c:delete val="1"/>
        <c:axPos val="b"/>
        <c:numFmt formatCode="0%" sourceLinked="0"/>
        <c:majorTickMark val="none"/>
        <c:minorTickMark val="none"/>
        <c:tickLblPos val="nextTo"/>
        <c:crossAx val="231064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Rating and Total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'Scatter Plot'!$A$4:$A$23</c:f>
              <c:numCache>
                <c:formatCode>General</c:formatCode>
                <c:ptCount val="20"/>
                <c:pt idx="0">
                  <c:v>3</c:v>
                </c:pt>
                <c:pt idx="1">
                  <c:v>3.1</c:v>
                </c:pt>
                <c:pt idx="2">
                  <c:v>3.2</c:v>
                </c:pt>
                <c:pt idx="3">
                  <c:v>3.3</c:v>
                </c:pt>
                <c:pt idx="4">
                  <c:v>3.4</c:v>
                </c:pt>
                <c:pt idx="5">
                  <c:v>3.5</c:v>
                </c:pt>
                <c:pt idx="6">
                  <c:v>3.6</c:v>
                </c:pt>
                <c:pt idx="7">
                  <c:v>3.7</c:v>
                </c:pt>
                <c:pt idx="8">
                  <c:v>3.8</c:v>
                </c:pt>
                <c:pt idx="9">
                  <c:v>3.9</c:v>
                </c:pt>
                <c:pt idx="10">
                  <c:v>4</c:v>
                </c:pt>
                <c:pt idx="11">
                  <c:v>4.0999999999999996</c:v>
                </c:pt>
                <c:pt idx="12">
                  <c:v>4.2</c:v>
                </c:pt>
                <c:pt idx="13">
                  <c:v>4.3</c:v>
                </c:pt>
                <c:pt idx="14">
                  <c:v>4.4000000000000004</c:v>
                </c:pt>
                <c:pt idx="15">
                  <c:v>4.5</c:v>
                </c:pt>
                <c:pt idx="16">
                  <c:v>4.5999999999999996</c:v>
                </c:pt>
                <c:pt idx="17">
                  <c:v>4.7</c:v>
                </c:pt>
                <c:pt idx="18">
                  <c:v>4.8</c:v>
                </c:pt>
                <c:pt idx="19">
                  <c:v>4.9000000000000004</c:v>
                </c:pt>
              </c:numCache>
            </c:numRef>
          </c:xVal>
          <c:yVal>
            <c:numRef>
              <c:f>'Scatter Plot'!$B$4:$B$23</c:f>
              <c:numCache>
                <c:formatCode>"$"#,##0;[Red]"$"#,##0</c:formatCode>
                <c:ptCount val="20"/>
                <c:pt idx="0">
                  <c:v>5626.4</c:v>
                </c:pt>
                <c:pt idx="1">
                  <c:v>7580</c:v>
                </c:pt>
                <c:pt idx="2">
                  <c:v>4458.5</c:v>
                </c:pt>
                <c:pt idx="3">
                  <c:v>12638.6</c:v>
                </c:pt>
                <c:pt idx="4">
                  <c:v>8315.1500000000015</c:v>
                </c:pt>
                <c:pt idx="5">
                  <c:v>4668.45</c:v>
                </c:pt>
                <c:pt idx="6">
                  <c:v>11626</c:v>
                </c:pt>
                <c:pt idx="7">
                  <c:v>700.6</c:v>
                </c:pt>
                <c:pt idx="8">
                  <c:v>16117.199999999993</c:v>
                </c:pt>
                <c:pt idx="9">
                  <c:v>5504.8000000000011</c:v>
                </c:pt>
                <c:pt idx="10">
                  <c:v>13595.2</c:v>
                </c:pt>
                <c:pt idx="11">
                  <c:v>25553.300000000014</c:v>
                </c:pt>
                <c:pt idx="12">
                  <c:v>9727.65</c:v>
                </c:pt>
                <c:pt idx="13">
                  <c:v>16747.899999999994</c:v>
                </c:pt>
                <c:pt idx="14">
                  <c:v>8942.85</c:v>
                </c:pt>
                <c:pt idx="15">
                  <c:v>35970.499999999985</c:v>
                </c:pt>
                <c:pt idx="16">
                  <c:v>14036</c:v>
                </c:pt>
                <c:pt idx="17">
                  <c:v>27871.8</c:v>
                </c:pt>
                <c:pt idx="18">
                  <c:v>30550.199999999997</c:v>
                </c:pt>
                <c:pt idx="19">
                  <c:v>35652.499999999985</c:v>
                </c:pt>
              </c:numCache>
            </c:numRef>
          </c:yVal>
          <c:smooth val="0"/>
          <c:extLst>
            <c:ext xmlns:c16="http://schemas.microsoft.com/office/drawing/2014/chart" uri="{C3380CC4-5D6E-409C-BE32-E72D297353CC}">
              <c16:uniqueId val="{00000000-3DD4-475C-BDE9-E3F0357FB52E}"/>
            </c:ext>
          </c:extLst>
        </c:ser>
        <c:dLbls>
          <c:showLegendKey val="0"/>
          <c:showVal val="0"/>
          <c:showCatName val="0"/>
          <c:showSerName val="0"/>
          <c:showPercent val="0"/>
          <c:showBubbleSize val="0"/>
        </c:dLbls>
        <c:axId val="165647359"/>
        <c:axId val="165647839"/>
      </c:scatterChart>
      <c:valAx>
        <c:axId val="165647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839"/>
        <c:crosses val="autoZero"/>
        <c:crossBetween val="midCat"/>
      </c:valAx>
      <c:valAx>
        <c:axId val="165647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3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Items Purchased by</a:t>
            </a:r>
          </a:p>
          <a:p>
            <a:pPr>
              <a:defRPr/>
            </a:pPr>
            <a:r>
              <a:rPr lang="en-GB"/>
              <a:t>Female</a:t>
            </a:r>
            <a:r>
              <a:rPr lang="en-GB" baseline="0"/>
              <a:t>                     Male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1"/>
          <c:tx>
            <c:strRef>
              <c:f>'Items Purchased-Gender and Age'!$C$11</c:f>
              <c:strCache>
                <c:ptCount val="1"/>
                <c:pt idx="0">
                  <c:v>Male Items Purchased</c:v>
                </c:pt>
              </c:strCache>
            </c:strRef>
          </c:tx>
          <c:spPr>
            <a:solidFill>
              <a:schemeClr val="accent4">
                <a:lumMod val="40000"/>
                <a:lumOff val="60000"/>
              </a:schemeClr>
            </a:solidFill>
            <a:ln>
              <a:solidFill>
                <a:schemeClr val="accent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 Purchased-Gender and Age'!$A$12:$A$16</c:f>
              <c:strCache>
                <c:ptCount val="5"/>
                <c:pt idx="1">
                  <c:v>24-29</c:v>
                </c:pt>
                <c:pt idx="2">
                  <c:v>30-35</c:v>
                </c:pt>
                <c:pt idx="3">
                  <c:v>36-41</c:v>
                </c:pt>
                <c:pt idx="4">
                  <c:v>Over 41</c:v>
                </c:pt>
              </c:strCache>
            </c:strRef>
          </c:cat>
          <c:val>
            <c:numRef>
              <c:f>'Items Purchased-Gender and Age'!$C$12:$C$16</c:f>
              <c:numCache>
                <c:formatCode>General</c:formatCode>
                <c:ptCount val="5"/>
                <c:pt idx="1">
                  <c:v>1097</c:v>
                </c:pt>
                <c:pt idx="2">
                  <c:v>1411</c:v>
                </c:pt>
                <c:pt idx="3">
                  <c:v>19</c:v>
                </c:pt>
                <c:pt idx="4">
                  <c:v>0</c:v>
                </c:pt>
              </c:numCache>
            </c:numRef>
          </c:val>
          <c:extLst>
            <c:ext xmlns:c16="http://schemas.microsoft.com/office/drawing/2014/chart" uri="{C3380CC4-5D6E-409C-BE32-E72D297353CC}">
              <c16:uniqueId val="{00000001-8FDF-4C72-8152-473D234A92FE}"/>
            </c:ext>
          </c:extLst>
        </c:ser>
        <c:dLbls>
          <c:showLegendKey val="0"/>
          <c:showVal val="1"/>
          <c:showCatName val="0"/>
          <c:showSerName val="0"/>
          <c:showPercent val="0"/>
          <c:showBubbleSize val="0"/>
        </c:dLbls>
        <c:gapWidth val="15"/>
        <c:overlap val="100"/>
        <c:axId val="1063871551"/>
        <c:axId val="1063872031"/>
      </c:barChart>
      <c:barChart>
        <c:barDir val="bar"/>
        <c:grouping val="clustered"/>
        <c:varyColors val="0"/>
        <c:ser>
          <c:idx val="0"/>
          <c:order val="0"/>
          <c:tx>
            <c:strRef>
              <c:f>'Items Purchased-Gender and Age'!$B$11</c:f>
              <c:strCache>
                <c:ptCount val="1"/>
                <c:pt idx="0">
                  <c:v>Female Items Purchased</c:v>
                </c:pt>
              </c:strCache>
            </c:strRef>
          </c:tx>
          <c:spPr>
            <a:solidFill>
              <a:schemeClr val="accent5">
                <a:lumMod val="40000"/>
                <a:lumOff val="60000"/>
              </a:schemeClr>
            </a:solidFill>
            <a:ln>
              <a:solidFill>
                <a:schemeClr val="accent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 Purchased-Gender and Age'!$A$12:$A$16</c:f>
              <c:strCache>
                <c:ptCount val="5"/>
                <c:pt idx="1">
                  <c:v>24-29</c:v>
                </c:pt>
                <c:pt idx="2">
                  <c:v>30-35</c:v>
                </c:pt>
                <c:pt idx="3">
                  <c:v>36-41</c:v>
                </c:pt>
                <c:pt idx="4">
                  <c:v>Over 41</c:v>
                </c:pt>
              </c:strCache>
            </c:strRef>
          </c:cat>
          <c:val>
            <c:numRef>
              <c:f>'Items Purchased-Gender and Age'!$B$12:$B$16</c:f>
              <c:numCache>
                <c:formatCode>General</c:formatCode>
                <c:ptCount val="5"/>
                <c:pt idx="1">
                  <c:v>28</c:v>
                </c:pt>
                <c:pt idx="2">
                  <c:v>877</c:v>
                </c:pt>
                <c:pt idx="3">
                  <c:v>649</c:v>
                </c:pt>
                <c:pt idx="4">
                  <c:v>329</c:v>
                </c:pt>
              </c:numCache>
            </c:numRef>
          </c:val>
          <c:extLst>
            <c:ext xmlns:c16="http://schemas.microsoft.com/office/drawing/2014/chart" uri="{C3380CC4-5D6E-409C-BE32-E72D297353CC}">
              <c16:uniqueId val="{00000000-8FDF-4C72-8152-473D234A92FE}"/>
            </c:ext>
          </c:extLst>
        </c:ser>
        <c:dLbls>
          <c:showLegendKey val="0"/>
          <c:showVal val="1"/>
          <c:showCatName val="0"/>
          <c:showSerName val="0"/>
          <c:showPercent val="0"/>
          <c:showBubbleSize val="0"/>
        </c:dLbls>
        <c:gapWidth val="15"/>
        <c:overlap val="100"/>
        <c:axId val="1017174959"/>
        <c:axId val="1017177359"/>
      </c:barChart>
      <c:catAx>
        <c:axId val="10638715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872031"/>
        <c:crosses val="autoZero"/>
        <c:auto val="1"/>
        <c:lblAlgn val="ctr"/>
        <c:lblOffset val="250"/>
        <c:noMultiLvlLbl val="0"/>
      </c:catAx>
      <c:valAx>
        <c:axId val="1063872031"/>
        <c:scaling>
          <c:orientation val="minMax"/>
          <c:max val="1500"/>
          <c:min val="-2000"/>
        </c:scaling>
        <c:delete val="0"/>
        <c:axPos val="b"/>
        <c:majorGridlines>
          <c:spPr>
            <a:ln w="9525" cap="flat" cmpd="sng" algn="ctr">
              <a:solidFill>
                <a:schemeClr val="tx1">
                  <a:lumMod val="15000"/>
                  <a:lumOff val="85000"/>
                </a:schemeClr>
              </a:solidFill>
              <a:round/>
            </a:ln>
            <a:effectLst/>
          </c:spPr>
        </c:majorGridlines>
        <c:numFmt formatCode="[&gt;=0]General"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871551"/>
        <c:crossesAt val="2"/>
        <c:crossBetween val="between"/>
      </c:valAx>
      <c:valAx>
        <c:axId val="1017177359"/>
        <c:scaling>
          <c:orientation val="maxMin"/>
          <c:max val="1500"/>
          <c:min val="-2000"/>
        </c:scaling>
        <c:delete val="0"/>
        <c:axPos val="b"/>
        <c:numFmt formatCode="[&gt;=0]General" sourceLinked="0"/>
        <c:majorTickMark val="out"/>
        <c:minorTickMark val="none"/>
        <c:tickLblPos val="nextTo"/>
        <c:spPr>
          <a:noFill/>
          <a:ln w="6350">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74959"/>
        <c:crossesAt val="2"/>
        <c:crossBetween val="between"/>
        <c:majorUnit val="500"/>
      </c:valAx>
      <c:catAx>
        <c:axId val="1017174959"/>
        <c:scaling>
          <c:orientation val="minMax"/>
        </c:scaling>
        <c:delete val="0"/>
        <c:axPos val="r"/>
        <c:numFmt formatCode="General" sourceLinked="1"/>
        <c:majorTickMark val="out"/>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77359"/>
        <c:crossesAt val="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b="1">
                <a:solidFill>
                  <a:srgbClr val="3E5F44"/>
                </a:solidFill>
              </a:defRPr>
            </a:pPr>
            <a:r>
              <a:rPr lang="en-GB" b="1">
                <a:solidFill>
                  <a:srgbClr val="3E5F44"/>
                </a:solidFill>
              </a:rPr>
              <a:t>Revenue Distribution Across Key Cities</a:t>
            </a:r>
            <a:endParaRPr lang="en-GB" sz="1400" b="1" i="0" u="none" strike="noStrike" baseline="0">
              <a:solidFill>
                <a:srgbClr val="3E5F44"/>
              </a:solidFill>
              <a:latin typeface="Aptos Narrow" panose="02110004020202020204"/>
            </a:endParaRPr>
          </a:p>
        </cx:rich>
      </cx:tx>
      <cx:spPr>
        <a:noFill/>
      </cx:spPr>
    </cx:title>
    <cx:plotArea>
      <cx:plotAreaRegion>
        <cx:series layoutId="clusteredColumn" uniqueId="{AD21961C-EEEE-4E6C-901B-151594B01863}">
          <cx:spPr>
            <a:solidFill>
              <a:srgbClr val="3E5F44"/>
            </a:solidFill>
            <a:ln>
              <a:noFill/>
            </a:ln>
          </cx:spPr>
          <cx:dataPt idx="2">
            <cx:spPr>
              <a:solidFill>
                <a:srgbClr val="5E936C"/>
              </a:solidFill>
            </cx:spPr>
          </cx:dataPt>
          <cx:dataPt idx="3">
            <cx:spPr>
              <a:solidFill>
                <a:srgbClr val="5E936C"/>
              </a:solidFill>
            </cx:spPr>
          </cx:dataPt>
          <cx:dataPt idx="4">
            <cx:spPr>
              <a:solidFill>
                <a:srgbClr val="93DA97"/>
              </a:solidFill>
            </cx:spPr>
          </cx:dataPt>
          <cx:dataPt idx="5">
            <cx:spPr>
              <a:solidFill>
                <a:srgbClr val="93DA97"/>
              </a:solidFill>
            </cx:spPr>
          </cx:dataPt>
          <cx:dataId val="0"/>
          <cx:layoutPr>
            <cx:aggregation/>
          </cx:layoutPr>
          <cx:axisId val="1"/>
        </cx:series>
        <cx:series layoutId="paretoLine" ownerIdx="0" uniqueId="{88A449F2-9785-452C-B52D-E92CDEA28D0E}">
          <cx:spPr>
            <a:ln>
              <a:solidFill>
                <a:schemeClr val="accent5">
                  <a:lumMod val="60000"/>
                  <a:lumOff val="40000"/>
                </a:schemeClr>
              </a:solidFill>
            </a:ln>
          </cx:spPr>
          <cx:axisId val="2"/>
        </cx:series>
      </cx:plotAreaRegion>
      <cx:axis id="0">
        <cx:catScaling gapWidth="0.200000003"/>
        <cx:tickLabels/>
        <cx:txPr>
          <a:bodyPr vertOverflow="overflow" horzOverflow="overflow" wrap="square" lIns="0" tIns="0" rIns="0" bIns="0"/>
          <a:lstStyle/>
          <a:p>
            <a:pPr algn="ctr" rtl="0">
              <a:defRPr sz="900" b="0" i="0">
                <a:solidFill>
                  <a:srgbClr val="3E5F44"/>
                </a:solidFill>
                <a:latin typeface="Aptos Narrow" panose="020B0004020202020204" pitchFamily="34" charset="0"/>
                <a:ea typeface="Aptos Narrow" panose="020B0004020202020204" pitchFamily="34" charset="0"/>
                <a:cs typeface="Aptos Narrow" panose="020B0004020202020204" pitchFamily="34" charset="0"/>
              </a:defRPr>
            </a:pPr>
            <a:endParaRPr lang="en-GB">
              <a:solidFill>
                <a:srgbClr val="3E5F44"/>
              </a:solidFill>
            </a:endParaRPr>
          </a:p>
        </cx:txPr>
      </cx:axis>
      <cx:axis id="1">
        <cx:valScaling/>
        <cx:majorGridlines/>
        <cx:tickLabels/>
        <cx:txPr>
          <a:bodyPr vertOverflow="overflow" horzOverflow="overflow" wrap="square" lIns="0" tIns="0" rIns="0" bIns="0"/>
          <a:lstStyle/>
          <a:p>
            <a:pPr algn="ctr" rtl="0">
              <a:defRPr sz="900" b="0" i="0">
                <a:solidFill>
                  <a:srgbClr val="3E5F44"/>
                </a:solidFill>
                <a:latin typeface="Aptos Narrow" panose="020B0004020202020204" pitchFamily="34" charset="0"/>
                <a:ea typeface="Aptos Narrow" panose="020B0004020202020204" pitchFamily="34" charset="0"/>
                <a:cs typeface="Aptos Narrow" panose="020B0004020202020204" pitchFamily="34" charset="0"/>
              </a:defRPr>
            </a:pPr>
            <a:endParaRPr lang="en-GB">
              <a:solidFill>
                <a:srgbClr val="3E5F44"/>
              </a:solidFill>
            </a:endParaRPr>
          </a:p>
        </cx:txPr>
      </cx:axis>
      <cx:axis id="2">
        <cx:valScaling max="1" min="0"/>
        <cx:units unit="percentage"/>
        <cx:tickLabels/>
        <cx:txPr>
          <a:bodyPr vertOverflow="overflow" horzOverflow="overflow" wrap="square" lIns="0" tIns="0" rIns="0" bIns="0"/>
          <a:lstStyle/>
          <a:p>
            <a:pPr algn="ctr" rtl="0">
              <a:defRPr sz="900" b="0" i="0">
                <a:solidFill>
                  <a:srgbClr val="3E5F44"/>
                </a:solidFill>
                <a:latin typeface="Aptos Narrow" panose="020B0004020202020204" pitchFamily="34" charset="0"/>
                <a:ea typeface="Aptos Narrow" panose="020B0004020202020204" pitchFamily="34" charset="0"/>
                <a:cs typeface="Aptos Narrow" panose="020B0004020202020204" pitchFamily="34" charset="0"/>
              </a:defRPr>
            </a:pPr>
            <a:endParaRPr lang="en-GB">
              <a:solidFill>
                <a:srgbClr val="3E5F44"/>
              </a:solidFill>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Key Cities</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Key Cities</a:t>
          </a:r>
        </a:p>
      </cx:txPr>
    </cx:title>
    <cx:plotArea>
      <cx:plotAreaRegion>
        <cx:series layoutId="clusteredColumn" uniqueId="{AD21961C-EEEE-4E6C-901B-151594B01863}">
          <cx:dataId val="0"/>
          <cx:layoutPr>
            <cx:aggregation/>
          </cx:layoutPr>
          <cx:axisId val="1"/>
        </cx:series>
        <cx:series layoutId="paretoLine" ownerIdx="0" uniqueId="{88A449F2-9785-452C-B52D-E92CDEA28D0E}">
          <cx:axisId val="2"/>
        </cx:series>
      </cx:plotAreaRegion>
      <cx:axis id="0">
        <cx:catScaling gapWidth="0.200000003"/>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4.sv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 Id="rId14" Type="http://schemas.openxmlformats.org/officeDocument/2006/relationships/image" Target="../media/image6.svg"/></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4243</xdr:rowOff>
    </xdr:from>
    <xdr:to>
      <xdr:col>26</xdr:col>
      <xdr:colOff>0</xdr:colOff>
      <xdr:row>44</xdr:row>
      <xdr:rowOff>182393</xdr:rowOff>
    </xdr:to>
    <xdr:sp macro="" textlink="">
      <xdr:nvSpPr>
        <xdr:cNvPr id="18" name="Rectangle 17">
          <a:extLst>
            <a:ext uri="{FF2B5EF4-FFF2-40B4-BE49-F238E27FC236}">
              <a16:creationId xmlns:a16="http://schemas.microsoft.com/office/drawing/2014/main" id="{77D391A9-FFB3-C2CC-C899-16EEC89FF7FE}"/>
            </a:ext>
          </a:extLst>
        </xdr:cNvPr>
        <xdr:cNvSpPr/>
      </xdr:nvSpPr>
      <xdr:spPr>
        <a:xfrm>
          <a:off x="111464" y="723686"/>
          <a:ext cx="16212766" cy="7838681"/>
        </a:xfrm>
        <a:prstGeom prst="rect">
          <a:avLst/>
        </a:prstGeom>
        <a:solidFill>
          <a:srgbClr val="3E5F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231689</xdr:colOff>
      <xdr:row>2</xdr:row>
      <xdr:rowOff>141587</xdr:rowOff>
    </xdr:from>
    <xdr:to>
      <xdr:col>25</xdr:col>
      <xdr:colOff>521301</xdr:colOff>
      <xdr:row>43</xdr:row>
      <xdr:rowOff>173766</xdr:rowOff>
    </xdr:to>
    <xdr:sp macro="" textlink="">
      <xdr:nvSpPr>
        <xdr:cNvPr id="17" name="Rectangle: Rounded Corners 16">
          <a:extLst>
            <a:ext uri="{FF2B5EF4-FFF2-40B4-BE49-F238E27FC236}">
              <a16:creationId xmlns:a16="http://schemas.microsoft.com/office/drawing/2014/main" id="{FB5DE972-3C37-5D22-8FD7-A28E14106CC5}"/>
            </a:ext>
          </a:extLst>
        </xdr:cNvPr>
        <xdr:cNvSpPr/>
      </xdr:nvSpPr>
      <xdr:spPr>
        <a:xfrm>
          <a:off x="344258" y="860292"/>
          <a:ext cx="15875976" cy="7487656"/>
        </a:xfrm>
        <a:prstGeom prst="roundRect">
          <a:avLst>
            <a:gd name="adj" fmla="val 5051"/>
          </a:avLst>
        </a:prstGeom>
        <a:solidFill>
          <a:srgbClr val="F7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200050</xdr:colOff>
      <xdr:row>4</xdr:row>
      <xdr:rowOff>20005</xdr:rowOff>
    </xdr:from>
    <xdr:to>
      <xdr:col>9</xdr:col>
      <xdr:colOff>195286</xdr:colOff>
      <xdr:row>10</xdr:row>
      <xdr:rowOff>20005</xdr:rowOff>
    </xdr:to>
    <xdr:sp macro="" textlink="City!A4">
      <xdr:nvSpPr>
        <xdr:cNvPr id="3" name="TextBox 2">
          <a:extLst>
            <a:ext uri="{FF2B5EF4-FFF2-40B4-BE49-F238E27FC236}">
              <a16:creationId xmlns:a16="http://schemas.microsoft.com/office/drawing/2014/main" id="{E7AD1B7B-0A1C-48D3-B84D-BDDB3B7C7793}"/>
            </a:ext>
          </a:extLst>
        </xdr:cNvPr>
        <xdr:cNvSpPr txBox="1"/>
      </xdr:nvSpPr>
      <xdr:spPr>
        <a:xfrm>
          <a:off x="2889981" y="1113616"/>
          <a:ext cx="2570514" cy="1111250"/>
        </a:xfrm>
        <a:prstGeom prst="roundRect">
          <a:avLst/>
        </a:prstGeom>
        <a:gradFill flip="none" rotWithShape="1">
          <a:gsLst>
            <a:gs pos="0">
              <a:srgbClr val="5E936C">
                <a:tint val="66000"/>
                <a:satMod val="160000"/>
              </a:srgbClr>
            </a:gs>
            <a:gs pos="50000">
              <a:srgbClr val="5E936C">
                <a:tint val="44500"/>
                <a:satMod val="160000"/>
              </a:srgbClr>
            </a:gs>
            <a:gs pos="100000">
              <a:srgbClr val="5E936C">
                <a:tint val="23500"/>
                <a:satMod val="160000"/>
              </a:srgbClr>
            </a:gs>
          </a:gsLst>
          <a:lin ang="5400000" scaled="1"/>
          <a:tileRect/>
        </a:gradFill>
        <a:ln w="9525" cmpd="sng">
          <a:solidFill>
            <a:schemeClr val="lt1">
              <a:shade val="50000"/>
            </a:schemeClr>
          </a:solidFill>
        </a:ln>
        <a:effectLst>
          <a:outerShdw blurRad="3429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A98BB2C-7A24-4492-92B5-FDF28FC522C1}" type="TxLink">
            <a:rPr lang="en-US" sz="3200" b="0" i="0" u="none" strike="noStrike">
              <a:solidFill>
                <a:srgbClr val="F7FFFF"/>
              </a:solidFill>
              <a:latin typeface="Aptos Narrow"/>
              <a:ea typeface="+mn-ea"/>
              <a:cs typeface="+mn-cs"/>
            </a:rPr>
            <a:t>San Francisco</a:t>
          </a:fld>
          <a:endParaRPr lang="en-US" sz="3200" b="1" i="0" u="none" strike="noStrike">
            <a:solidFill>
              <a:srgbClr val="F7FFFF"/>
            </a:solidFill>
            <a:latin typeface="+mn-lt"/>
            <a:ea typeface="+mn-ea"/>
            <a:cs typeface="+mn-cs"/>
          </a:endParaRPr>
        </a:p>
      </xdr:txBody>
    </xdr:sp>
    <xdr:clientData/>
  </xdr:twoCellAnchor>
  <xdr:twoCellAnchor>
    <xdr:from>
      <xdr:col>8</xdr:col>
      <xdr:colOff>262342</xdr:colOff>
      <xdr:row>12</xdr:row>
      <xdr:rowOff>68134</xdr:rowOff>
    </xdr:from>
    <xdr:to>
      <xdr:col>13</xdr:col>
      <xdr:colOff>207211</xdr:colOff>
      <xdr:row>25</xdr:row>
      <xdr:rowOff>172705</xdr:rowOff>
    </xdr:to>
    <xdr:graphicFrame macro="">
      <xdr:nvGraphicFramePr>
        <xdr:cNvPr id="9" name="Chart 8">
          <a:extLst>
            <a:ext uri="{FF2B5EF4-FFF2-40B4-BE49-F238E27FC236}">
              <a16:creationId xmlns:a16="http://schemas.microsoft.com/office/drawing/2014/main" id="{0ED48037-EA4C-4CCB-88B1-21FBB2FDE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607741</xdr:colOff>
      <xdr:row>28</xdr:row>
      <xdr:rowOff>20935</xdr:rowOff>
    </xdr:from>
    <xdr:to>
      <xdr:col>17</xdr:col>
      <xdr:colOff>69271</xdr:colOff>
      <xdr:row>42</xdr:row>
      <xdr:rowOff>2658</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391A09AB-09E5-44A9-8724-CABF15DBF5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55941" y="5450185"/>
              <a:ext cx="5290830" cy="251537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510886</xdr:colOff>
      <xdr:row>28</xdr:row>
      <xdr:rowOff>17318</xdr:rowOff>
    </xdr:from>
    <xdr:to>
      <xdr:col>8</xdr:col>
      <xdr:colOff>381000</xdr:colOff>
      <xdr:row>41</xdr:row>
      <xdr:rowOff>173183</xdr:rowOff>
    </xdr:to>
    <xdr:graphicFrame macro="">
      <xdr:nvGraphicFramePr>
        <xdr:cNvPr id="11" name="Chart 10">
          <a:extLst>
            <a:ext uri="{FF2B5EF4-FFF2-40B4-BE49-F238E27FC236}">
              <a16:creationId xmlns:a16="http://schemas.microsoft.com/office/drawing/2014/main" id="{96B0331C-7FDD-4FF6-A5CD-0E1B92149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404438</xdr:colOff>
      <xdr:row>12</xdr:row>
      <xdr:rowOff>39906</xdr:rowOff>
    </xdr:from>
    <xdr:to>
      <xdr:col>8</xdr:col>
      <xdr:colOff>483358</xdr:colOff>
      <xdr:row>26</xdr:row>
      <xdr:rowOff>138546</xdr:rowOff>
    </xdr:to>
    <xdr:graphicFrame macro="">
      <xdr:nvGraphicFramePr>
        <xdr:cNvPr id="12" name="Chart 11">
          <a:extLst>
            <a:ext uri="{FF2B5EF4-FFF2-40B4-BE49-F238E27FC236}">
              <a16:creationId xmlns:a16="http://schemas.microsoft.com/office/drawing/2014/main" id="{D8D05072-ABF7-4F3C-BE72-BDB251A94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397604</xdr:colOff>
      <xdr:row>11</xdr:row>
      <xdr:rowOff>131077</xdr:rowOff>
    </xdr:from>
    <xdr:to>
      <xdr:col>25</xdr:col>
      <xdr:colOff>173182</xdr:colOff>
      <xdr:row>25</xdr:row>
      <xdr:rowOff>134154</xdr:rowOff>
    </xdr:to>
    <xdr:sp macro="" textlink="">
      <xdr:nvSpPr>
        <xdr:cNvPr id="22" name="TextBox 21">
          <a:extLst>
            <a:ext uri="{FF2B5EF4-FFF2-40B4-BE49-F238E27FC236}">
              <a16:creationId xmlns:a16="http://schemas.microsoft.com/office/drawing/2014/main" id="{B1E144DE-4A88-A9E4-4D1F-887986F07E3B}"/>
            </a:ext>
          </a:extLst>
        </xdr:cNvPr>
        <xdr:cNvSpPr txBox="1"/>
      </xdr:nvSpPr>
      <xdr:spPr>
        <a:xfrm>
          <a:off x="8303355" y="2486350"/>
          <a:ext cx="7568760" cy="2548849"/>
        </a:xfrm>
        <a:prstGeom prst="roundRect">
          <a:avLst>
            <a:gd name="adj" fmla="val 8740"/>
          </a:avLst>
        </a:prstGeom>
        <a:gradFill flip="none" rotWithShape="1">
          <a:gsLst>
            <a:gs pos="0">
              <a:srgbClr val="5E936C">
                <a:tint val="66000"/>
                <a:satMod val="160000"/>
              </a:srgbClr>
            </a:gs>
            <a:gs pos="50000">
              <a:srgbClr val="5E936C">
                <a:tint val="44500"/>
                <a:satMod val="160000"/>
              </a:srgbClr>
            </a:gs>
            <a:gs pos="100000">
              <a:srgbClr val="5E936C">
                <a:tint val="23500"/>
                <a:satMod val="160000"/>
              </a:srgbClr>
            </a:gs>
          </a:gsLst>
          <a:path path="circle">
            <a:fillToRect l="50000" t="50000" r="50000" b="50000"/>
          </a:path>
          <a:tileRect/>
        </a:gradFill>
        <a:ln w="9525" cmpd="sng">
          <a:noFill/>
        </a:ln>
        <a:effectLst>
          <a:outerShdw blurRad="1270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solidFill>
                <a:srgbClr val="F7FFFF"/>
              </a:solidFill>
            </a:rPr>
            <a:t>OVERALL</a:t>
          </a:r>
          <a:r>
            <a:rPr lang="en-GB" sz="1800" baseline="0">
              <a:solidFill>
                <a:srgbClr val="F7FFFF"/>
              </a:solidFill>
            </a:rPr>
            <a:t> SATISFACTION LEVEL</a:t>
          </a:r>
          <a:endParaRPr lang="en-GB" sz="1800">
            <a:solidFill>
              <a:srgbClr val="F7FFFF"/>
            </a:solidFill>
          </a:endParaRPr>
        </a:p>
      </xdr:txBody>
    </xdr:sp>
    <xdr:clientData/>
  </xdr:twoCellAnchor>
  <xdr:twoCellAnchor>
    <xdr:from>
      <xdr:col>18</xdr:col>
      <xdr:colOff>560293</xdr:colOff>
      <xdr:row>14</xdr:row>
      <xdr:rowOff>164880</xdr:rowOff>
    </xdr:from>
    <xdr:to>
      <xdr:col>27</xdr:col>
      <xdr:colOff>121397</xdr:colOff>
      <xdr:row>27</xdr:row>
      <xdr:rowOff>9601</xdr:rowOff>
    </xdr:to>
    <xdr:graphicFrame macro="">
      <xdr:nvGraphicFramePr>
        <xdr:cNvPr id="13" name="Chart 12">
          <a:extLst>
            <a:ext uri="{FF2B5EF4-FFF2-40B4-BE49-F238E27FC236}">
              <a16:creationId xmlns:a16="http://schemas.microsoft.com/office/drawing/2014/main" id="{89884462-51F8-4205-A35D-EB0F65C11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623551</xdr:colOff>
      <xdr:row>14</xdr:row>
      <xdr:rowOff>141855</xdr:rowOff>
    </xdr:from>
    <xdr:to>
      <xdr:col>18</xdr:col>
      <xdr:colOff>583573</xdr:colOff>
      <xdr:row>26</xdr:row>
      <xdr:rowOff>174401</xdr:rowOff>
    </xdr:to>
    <xdr:graphicFrame macro="">
      <xdr:nvGraphicFramePr>
        <xdr:cNvPr id="14" name="Chart 13">
          <a:extLst>
            <a:ext uri="{FF2B5EF4-FFF2-40B4-BE49-F238E27FC236}">
              <a16:creationId xmlns:a16="http://schemas.microsoft.com/office/drawing/2014/main" id="{50575B81-869E-402C-883B-AA7D10F7C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510147</xdr:colOff>
      <xdr:row>14</xdr:row>
      <xdr:rowOff>104107</xdr:rowOff>
    </xdr:from>
    <xdr:to>
      <xdr:col>21</xdr:col>
      <xdr:colOff>382340</xdr:colOff>
      <xdr:row>27</xdr:row>
      <xdr:rowOff>73785</xdr:rowOff>
    </xdr:to>
    <xdr:graphicFrame macro="">
      <xdr:nvGraphicFramePr>
        <xdr:cNvPr id="15" name="Chart 14">
          <a:extLst>
            <a:ext uri="{FF2B5EF4-FFF2-40B4-BE49-F238E27FC236}">
              <a16:creationId xmlns:a16="http://schemas.microsoft.com/office/drawing/2014/main" id="{52D9415B-85D2-4FD0-B1EC-B0326320C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51704</xdr:colOff>
      <xdr:row>27</xdr:row>
      <xdr:rowOff>107636</xdr:rowOff>
    </xdr:from>
    <xdr:to>
      <xdr:col>25</xdr:col>
      <xdr:colOff>408757</xdr:colOff>
      <xdr:row>42</xdr:row>
      <xdr:rowOff>20104</xdr:rowOff>
    </xdr:to>
    <xdr:graphicFrame macro="">
      <xdr:nvGraphicFramePr>
        <xdr:cNvPr id="16" name="Chart 15">
          <a:extLst>
            <a:ext uri="{FF2B5EF4-FFF2-40B4-BE49-F238E27FC236}">
              <a16:creationId xmlns:a16="http://schemas.microsoft.com/office/drawing/2014/main" id="{FC5B04CC-C4EC-4508-ADE5-94579072B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476252</xdr:colOff>
      <xdr:row>6</xdr:row>
      <xdr:rowOff>171885</xdr:rowOff>
    </xdr:from>
    <xdr:to>
      <xdr:col>22</xdr:col>
      <xdr:colOff>52090</xdr:colOff>
      <xdr:row>11</xdr:row>
      <xdr:rowOff>6523</xdr:rowOff>
    </xdr:to>
    <mc:AlternateContent xmlns:mc="http://schemas.openxmlformats.org/markup-compatibility/2006" xmlns:a14="http://schemas.microsoft.com/office/drawing/2010/main">
      <mc:Choice Requires="a14">
        <xdr:graphicFrame macro="">
          <xdr:nvGraphicFramePr>
            <xdr:cNvPr id="23" name="Gender 2">
              <a:extLst>
                <a:ext uri="{FF2B5EF4-FFF2-40B4-BE49-F238E27FC236}">
                  <a16:creationId xmlns:a16="http://schemas.microsoft.com/office/drawing/2014/main" id="{0B70886D-247F-41B8-99B0-87D02FEDBF6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233230" y="1607743"/>
              <a:ext cx="1516379" cy="7231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371827</xdr:colOff>
      <xdr:row>2</xdr:row>
      <xdr:rowOff>127949</xdr:rowOff>
    </xdr:from>
    <xdr:to>
      <xdr:col>25</xdr:col>
      <xdr:colOff>181840</xdr:colOff>
      <xdr:row>6</xdr:row>
      <xdr:rowOff>124918</xdr:rowOff>
    </xdr:to>
    <mc:AlternateContent xmlns:mc="http://schemas.openxmlformats.org/markup-compatibility/2006" xmlns:a14="http://schemas.microsoft.com/office/drawing/2010/main">
      <mc:Choice Requires="a14">
        <xdr:graphicFrame macro="">
          <xdr:nvGraphicFramePr>
            <xdr:cNvPr id="24" name="City 2">
              <a:extLst>
                <a:ext uri="{FF2B5EF4-FFF2-40B4-BE49-F238E27FC236}">
                  <a16:creationId xmlns:a16="http://schemas.microsoft.com/office/drawing/2014/main" id="{5A573CA9-E387-4A63-A010-10062899A096}"/>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8247723" y="852986"/>
              <a:ext cx="7572177" cy="7077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97860</xdr:colOff>
      <xdr:row>6</xdr:row>
      <xdr:rowOff>169623</xdr:rowOff>
    </xdr:from>
    <xdr:to>
      <xdr:col>25</xdr:col>
      <xdr:colOff>190499</xdr:colOff>
      <xdr:row>11</xdr:row>
      <xdr:rowOff>9785</xdr:rowOff>
    </xdr:to>
    <mc:AlternateContent xmlns:mc="http://schemas.openxmlformats.org/markup-compatibility/2006" xmlns:a14="http://schemas.microsoft.com/office/drawing/2010/main">
      <mc:Choice Requires="a14">
        <xdr:graphicFrame macro="">
          <xdr:nvGraphicFramePr>
            <xdr:cNvPr id="25" name="Membership Type 2">
              <a:extLst>
                <a:ext uri="{FF2B5EF4-FFF2-40B4-BE49-F238E27FC236}">
                  <a16:creationId xmlns:a16="http://schemas.microsoft.com/office/drawing/2014/main" id="{5EE1F50B-1A73-444D-BE74-7351AE51F1EC}"/>
                </a:ext>
              </a:extLst>
            </xdr:cNvPr>
            <xdr:cNvGraphicFramePr/>
          </xdr:nvGraphicFramePr>
          <xdr:xfrm>
            <a:off x="0" y="0"/>
            <a:ext cx="0" cy="0"/>
          </xdr:xfrm>
          <a:graphic>
            <a:graphicData uri="http://schemas.microsoft.com/office/drawing/2010/slicer">
              <sle:slicer xmlns:sle="http://schemas.microsoft.com/office/drawing/2010/slicer" name="Membership Type 2"/>
            </a:graphicData>
          </a:graphic>
        </xdr:graphicFrame>
      </mc:Choice>
      <mc:Fallback xmlns="">
        <xdr:sp macro="" textlink="">
          <xdr:nvSpPr>
            <xdr:cNvPr id="0" name=""/>
            <xdr:cNvSpPr>
              <a:spLocks noTextEdit="1"/>
            </xdr:cNvSpPr>
          </xdr:nvSpPr>
          <xdr:spPr>
            <a:xfrm>
              <a:off x="13795379" y="1605481"/>
              <a:ext cx="2033180" cy="7286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359428</xdr:colOff>
      <xdr:row>6</xdr:row>
      <xdr:rowOff>171761</xdr:rowOff>
    </xdr:from>
    <xdr:to>
      <xdr:col>19</xdr:col>
      <xdr:colOff>416717</xdr:colOff>
      <xdr:row>11</xdr:row>
      <xdr:rowOff>1450</xdr:rowOff>
    </xdr:to>
    <mc:AlternateContent xmlns:mc="http://schemas.openxmlformats.org/markup-compatibility/2006" xmlns:a14="http://schemas.microsoft.com/office/drawing/2010/main">
      <mc:Choice Requires="a14">
        <xdr:graphicFrame macro="">
          <xdr:nvGraphicFramePr>
            <xdr:cNvPr id="26" name="Being Active 1">
              <a:extLst>
                <a:ext uri="{FF2B5EF4-FFF2-40B4-BE49-F238E27FC236}">
                  <a16:creationId xmlns:a16="http://schemas.microsoft.com/office/drawing/2014/main" id="{C91D1B08-11BE-483D-AC96-33EFC3FEBD34}"/>
                </a:ext>
              </a:extLst>
            </xdr:cNvPr>
            <xdr:cNvGraphicFramePr/>
          </xdr:nvGraphicFramePr>
          <xdr:xfrm>
            <a:off x="0" y="0"/>
            <a:ext cx="0" cy="0"/>
          </xdr:xfrm>
          <a:graphic>
            <a:graphicData uri="http://schemas.microsoft.com/office/drawing/2010/slicer">
              <sle:slicer xmlns:sle="http://schemas.microsoft.com/office/drawing/2010/slicer" name="Being Active 1"/>
            </a:graphicData>
          </a:graphic>
        </xdr:graphicFrame>
      </mc:Choice>
      <mc:Fallback xmlns="">
        <xdr:sp macro="" textlink="">
          <xdr:nvSpPr>
            <xdr:cNvPr id="0" name=""/>
            <xdr:cNvSpPr>
              <a:spLocks noTextEdit="1"/>
            </xdr:cNvSpPr>
          </xdr:nvSpPr>
          <xdr:spPr>
            <a:xfrm>
              <a:off x="8252687" y="1616127"/>
              <a:ext cx="4067353" cy="7104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474239</xdr:colOff>
      <xdr:row>4</xdr:row>
      <xdr:rowOff>29699</xdr:rowOff>
    </xdr:from>
    <xdr:to>
      <xdr:col>12</xdr:col>
      <xdr:colOff>518427</xdr:colOff>
      <xdr:row>10</xdr:row>
      <xdr:rowOff>19528</xdr:rowOff>
    </xdr:to>
    <xdr:sp macro="" textlink="Age!A4">
      <xdr:nvSpPr>
        <xdr:cNvPr id="27" name="TextBox 26">
          <a:extLst>
            <a:ext uri="{FF2B5EF4-FFF2-40B4-BE49-F238E27FC236}">
              <a16:creationId xmlns:a16="http://schemas.microsoft.com/office/drawing/2014/main" id="{05CAF2CD-816B-49E9-BE79-31DE7B2D3E78}"/>
            </a:ext>
          </a:extLst>
        </xdr:cNvPr>
        <xdr:cNvSpPr txBox="1"/>
      </xdr:nvSpPr>
      <xdr:spPr>
        <a:xfrm>
          <a:off x="5775449" y="1114925"/>
          <a:ext cx="1988224" cy="1067247"/>
        </a:xfrm>
        <a:prstGeom prst="roundRect">
          <a:avLst/>
        </a:prstGeom>
        <a:solidFill>
          <a:srgbClr val="F7FFFF"/>
        </a:solidFill>
        <a:ln w="9525" cmpd="sng">
          <a:solidFill>
            <a:schemeClr val="lt1">
              <a:shade val="50000"/>
            </a:schemeClr>
          </a:solidFill>
        </a:ln>
        <a:effectLst>
          <a:outerShdw blurRad="3429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9D7320A-5902-4EE5-9BE2-7C3FDD0DC526}" type="TxLink">
            <a:rPr lang="en-US" sz="3200" b="0" i="0" u="none" strike="noStrike">
              <a:solidFill>
                <a:srgbClr val="3E5F44"/>
              </a:solidFill>
              <a:latin typeface="Aptos Narrow"/>
              <a:ea typeface="+mn-ea"/>
              <a:cs typeface="+mn-cs"/>
            </a:rPr>
            <a:t>30-35</a:t>
          </a:fld>
          <a:endParaRPr lang="en-US" sz="3200" b="1" i="0" u="none" strike="noStrike">
            <a:solidFill>
              <a:srgbClr val="3E5F44"/>
            </a:solidFill>
            <a:latin typeface="+mn-lt"/>
            <a:ea typeface="+mn-ea"/>
            <a:cs typeface="+mn-cs"/>
          </a:endParaRPr>
        </a:p>
      </xdr:txBody>
    </xdr:sp>
    <xdr:clientData/>
  </xdr:twoCellAnchor>
  <xdr:twoCellAnchor>
    <xdr:from>
      <xdr:col>1</xdr:col>
      <xdr:colOff>446483</xdr:colOff>
      <xdr:row>4</xdr:row>
      <xdr:rowOff>37206</xdr:rowOff>
    </xdr:from>
    <xdr:to>
      <xdr:col>5</xdr:col>
      <xdr:colOff>59531</xdr:colOff>
      <xdr:row>10</xdr:row>
      <xdr:rowOff>59532</xdr:rowOff>
    </xdr:to>
    <xdr:sp macro="" textlink="Total">
      <xdr:nvSpPr>
        <xdr:cNvPr id="4" name="TextBox 3">
          <a:extLst>
            <a:ext uri="{FF2B5EF4-FFF2-40B4-BE49-F238E27FC236}">
              <a16:creationId xmlns:a16="http://schemas.microsoft.com/office/drawing/2014/main" id="{0D54E0F8-E13A-4610-AAE8-F5D860661190}"/>
            </a:ext>
          </a:extLst>
        </xdr:cNvPr>
        <xdr:cNvSpPr txBox="1"/>
      </xdr:nvSpPr>
      <xdr:spPr>
        <a:xfrm>
          <a:off x="559876" y="1125777"/>
          <a:ext cx="2198405" cy="1110898"/>
        </a:xfrm>
        <a:prstGeom prst="roundRect">
          <a:avLst/>
        </a:prstGeom>
        <a:solidFill>
          <a:srgbClr val="F7FFFF"/>
        </a:solidFill>
        <a:ln w="9525" cmpd="sng">
          <a:solidFill>
            <a:schemeClr val="lt1">
              <a:shade val="50000"/>
            </a:schemeClr>
          </a:solidFill>
        </a:ln>
        <a:effectLst>
          <a:outerShdw blurRad="3429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6685AC8-A456-4481-B86A-8C924B4C880A}" type="TxLink">
            <a:rPr lang="en-US" sz="3200" b="0" i="0" u="none" strike="noStrike">
              <a:solidFill>
                <a:srgbClr val="3E5F44"/>
              </a:solidFill>
              <a:latin typeface="Aptos Narrow"/>
              <a:ea typeface="+mn-ea"/>
              <a:cs typeface="+mn-cs"/>
            </a:rPr>
            <a:pPr marL="0" indent="0" algn="r"/>
            <a:t>350</a:t>
          </a:fld>
          <a:endParaRPr lang="en-US" sz="3200" i="0" u="none" strike="noStrike">
            <a:solidFill>
              <a:srgbClr val="3E5F44"/>
            </a:solidFill>
            <a:latin typeface="Aptos Narrow"/>
            <a:ea typeface="+mn-ea"/>
            <a:cs typeface="+mn-cs"/>
          </a:endParaRPr>
        </a:p>
      </xdr:txBody>
    </xdr:sp>
    <xdr:clientData/>
  </xdr:twoCellAnchor>
  <xdr:twoCellAnchor editAs="oneCell">
    <xdr:from>
      <xdr:col>2</xdr:col>
      <xdr:colOff>62202</xdr:colOff>
      <xdr:row>4</xdr:row>
      <xdr:rowOff>111683</xdr:rowOff>
    </xdr:from>
    <xdr:to>
      <xdr:col>3</xdr:col>
      <xdr:colOff>125012</xdr:colOff>
      <xdr:row>8</xdr:row>
      <xdr:rowOff>106901</xdr:rowOff>
    </xdr:to>
    <xdr:pic>
      <xdr:nvPicPr>
        <xdr:cNvPr id="20" name="Graphic 19" descr="Users with solid fill">
          <a:extLst>
            <a:ext uri="{FF2B5EF4-FFF2-40B4-BE49-F238E27FC236}">
              <a16:creationId xmlns:a16="http://schemas.microsoft.com/office/drawing/2014/main" id="{AF59451A-FEEE-3042-C458-3F0E006423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21225" y="1190688"/>
          <a:ext cx="710214" cy="709593"/>
        </a:xfrm>
        <a:prstGeom prst="rect">
          <a:avLst/>
        </a:prstGeom>
      </xdr:spPr>
    </xdr:pic>
    <xdr:clientData/>
  </xdr:twoCellAnchor>
  <xdr:twoCellAnchor editAs="oneCell">
    <xdr:from>
      <xdr:col>2</xdr:col>
      <xdr:colOff>332131</xdr:colOff>
      <xdr:row>12</xdr:row>
      <xdr:rowOff>100329</xdr:rowOff>
    </xdr:from>
    <xdr:to>
      <xdr:col>3</xdr:col>
      <xdr:colOff>279214</xdr:colOff>
      <xdr:row>15</xdr:row>
      <xdr:rowOff>147293</xdr:rowOff>
    </xdr:to>
    <xdr:pic>
      <xdr:nvPicPr>
        <xdr:cNvPr id="6" name="Graphic 5" descr="Female Profile with solid fill">
          <a:extLst>
            <a:ext uri="{FF2B5EF4-FFF2-40B4-BE49-F238E27FC236}">
              <a16:creationId xmlns:a16="http://schemas.microsoft.com/office/drawing/2014/main" id="{CD313A72-90AC-6D04-295C-4622F3244EA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93150" y="2643602"/>
          <a:ext cx="595175" cy="591952"/>
        </a:xfrm>
        <a:prstGeom prst="rect">
          <a:avLst/>
        </a:prstGeom>
        <a:effectLst>
          <a:outerShdw blurRad="63500" sx="102000" sy="102000" algn="ctr" rotWithShape="0">
            <a:prstClr val="black">
              <a:alpha val="40000"/>
            </a:prstClr>
          </a:outerShdw>
        </a:effectLst>
      </xdr:spPr>
    </xdr:pic>
    <xdr:clientData/>
  </xdr:twoCellAnchor>
  <xdr:twoCellAnchor editAs="oneCell">
    <xdr:from>
      <xdr:col>6</xdr:col>
      <xdr:colOff>390532</xdr:colOff>
      <xdr:row>12</xdr:row>
      <xdr:rowOff>73032</xdr:rowOff>
    </xdr:from>
    <xdr:to>
      <xdr:col>7</xdr:col>
      <xdr:colOff>380039</xdr:colOff>
      <xdr:row>15</xdr:row>
      <xdr:rowOff>163561</xdr:rowOff>
    </xdr:to>
    <xdr:pic>
      <xdr:nvPicPr>
        <xdr:cNvPr id="8" name="Graphic 7" descr="Male profile with solid fill">
          <a:extLst>
            <a:ext uri="{FF2B5EF4-FFF2-40B4-BE49-F238E27FC236}">
              <a16:creationId xmlns:a16="http://schemas.microsoft.com/office/drawing/2014/main" id="{AD383C47-FD94-8DA6-4146-8BC240DF44E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753146" y="2627464"/>
          <a:ext cx="638938" cy="638938"/>
        </a:xfrm>
        <a:prstGeom prst="rect">
          <a:avLst/>
        </a:prstGeom>
        <a:effectLst>
          <a:outerShdw blurRad="63500" sx="102000" sy="102000" algn="ctr" rotWithShape="0">
            <a:prstClr val="black">
              <a:alpha val="40000"/>
            </a:prstClr>
          </a:outerShdw>
        </a:effectLst>
      </xdr:spPr>
    </xdr:pic>
    <xdr:clientData/>
  </xdr:twoCellAnchor>
  <xdr:twoCellAnchor>
    <xdr:from>
      <xdr:col>2</xdr:col>
      <xdr:colOff>260804</xdr:colOff>
      <xdr:row>7</xdr:row>
      <xdr:rowOff>175759</xdr:rowOff>
    </xdr:from>
    <xdr:to>
      <xdr:col>4</xdr:col>
      <xdr:colOff>385536</xdr:colOff>
      <xdr:row>9</xdr:row>
      <xdr:rowOff>85045</xdr:rowOff>
    </xdr:to>
    <xdr:sp macro="" textlink="">
      <xdr:nvSpPr>
        <xdr:cNvPr id="2" name="TextBox 1">
          <a:extLst>
            <a:ext uri="{FF2B5EF4-FFF2-40B4-BE49-F238E27FC236}">
              <a16:creationId xmlns:a16="http://schemas.microsoft.com/office/drawing/2014/main" id="{6A4CA710-5E91-FEDF-5785-9D4421BE47BF}"/>
            </a:ext>
          </a:extLst>
        </xdr:cNvPr>
        <xdr:cNvSpPr txBox="1"/>
      </xdr:nvSpPr>
      <xdr:spPr>
        <a:xfrm>
          <a:off x="1020536" y="1808616"/>
          <a:ext cx="141741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3E5F44"/>
              </a:solidFill>
            </a:rPr>
            <a:t>Total Customers</a:t>
          </a:r>
        </a:p>
      </xdr:txBody>
    </xdr:sp>
    <xdr:clientData/>
  </xdr:twoCellAnchor>
  <xdr:twoCellAnchor>
    <xdr:from>
      <xdr:col>6</xdr:col>
      <xdr:colOff>124733</xdr:colOff>
      <xdr:row>7</xdr:row>
      <xdr:rowOff>107043</xdr:rowOff>
    </xdr:from>
    <xdr:to>
      <xdr:col>8</xdr:col>
      <xdr:colOff>594633</xdr:colOff>
      <xdr:row>9</xdr:row>
      <xdr:rowOff>16329</xdr:rowOff>
    </xdr:to>
    <xdr:sp macro="" textlink="">
      <xdr:nvSpPr>
        <xdr:cNvPr id="5" name="TextBox 4">
          <a:extLst>
            <a:ext uri="{FF2B5EF4-FFF2-40B4-BE49-F238E27FC236}">
              <a16:creationId xmlns:a16="http://schemas.microsoft.com/office/drawing/2014/main" id="{8CB64482-0F3A-406A-88FF-9869543788AA}"/>
            </a:ext>
          </a:extLst>
        </xdr:cNvPr>
        <xdr:cNvSpPr txBox="1"/>
      </xdr:nvSpPr>
      <xdr:spPr>
        <a:xfrm>
          <a:off x="3469822" y="1739900"/>
          <a:ext cx="1762579"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3E5F44"/>
              </a:solidFill>
            </a:rPr>
            <a:t>Top City By Spend</a:t>
          </a:r>
        </a:p>
      </xdr:txBody>
    </xdr:sp>
    <xdr:clientData/>
  </xdr:twoCellAnchor>
  <xdr:twoCellAnchor>
    <xdr:from>
      <xdr:col>10</xdr:col>
      <xdr:colOff>135391</xdr:colOff>
      <xdr:row>7</xdr:row>
      <xdr:rowOff>112033</xdr:rowOff>
    </xdr:from>
    <xdr:to>
      <xdr:col>12</xdr:col>
      <xdr:colOff>605291</xdr:colOff>
      <xdr:row>9</xdr:row>
      <xdr:rowOff>21319</xdr:rowOff>
    </xdr:to>
    <xdr:sp macro="" textlink="">
      <xdr:nvSpPr>
        <xdr:cNvPr id="7" name="TextBox 6">
          <a:extLst>
            <a:ext uri="{FF2B5EF4-FFF2-40B4-BE49-F238E27FC236}">
              <a16:creationId xmlns:a16="http://schemas.microsoft.com/office/drawing/2014/main" id="{8D3EAAFA-D6BB-4FB3-A60B-29C0693822B4}"/>
            </a:ext>
          </a:extLst>
        </xdr:cNvPr>
        <xdr:cNvSpPr txBox="1"/>
      </xdr:nvSpPr>
      <xdr:spPr>
        <a:xfrm>
          <a:off x="6065837" y="1744890"/>
          <a:ext cx="1762579"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3E5F44"/>
              </a:solidFill>
            </a:rPr>
            <a:t>Top Age By Spend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175966</xdr:rowOff>
    </xdr:from>
    <xdr:to>
      <xdr:col>4</xdr:col>
      <xdr:colOff>579653</xdr:colOff>
      <xdr:row>36</xdr:row>
      <xdr:rowOff>94895</xdr:rowOff>
    </xdr:to>
    <xdr:graphicFrame macro="">
      <xdr:nvGraphicFramePr>
        <xdr:cNvPr id="6" name="Chart 5">
          <a:extLst>
            <a:ext uri="{FF2B5EF4-FFF2-40B4-BE49-F238E27FC236}">
              <a16:creationId xmlns:a16="http://schemas.microsoft.com/office/drawing/2014/main" id="{DC182AE9-8E0C-ED25-129B-1449EC99D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579118</xdr:colOff>
      <xdr:row>25</xdr:row>
      <xdr:rowOff>137728</xdr:rowOff>
    </xdr:from>
    <xdr:to>
      <xdr:col>10</xdr:col>
      <xdr:colOff>476456</xdr:colOff>
      <xdr:row>36</xdr:row>
      <xdr:rowOff>56657</xdr:rowOff>
    </xdr:to>
    <xdr:graphicFrame macro="">
      <xdr:nvGraphicFramePr>
        <xdr:cNvPr id="8" name="Chart 7">
          <a:extLst>
            <a:ext uri="{FF2B5EF4-FFF2-40B4-BE49-F238E27FC236}">
              <a16:creationId xmlns:a16="http://schemas.microsoft.com/office/drawing/2014/main" id="{6A119134-B78A-4F6E-97A6-8997F07C3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137596</xdr:colOff>
      <xdr:row>25</xdr:row>
      <xdr:rowOff>112027</xdr:rowOff>
    </xdr:from>
    <xdr:to>
      <xdr:col>16</xdr:col>
      <xdr:colOff>237178</xdr:colOff>
      <xdr:row>36</xdr:row>
      <xdr:rowOff>30824</xdr:rowOff>
    </xdr:to>
    <xdr:graphicFrame macro="">
      <xdr:nvGraphicFramePr>
        <xdr:cNvPr id="9" name="Chart 8">
          <a:extLst>
            <a:ext uri="{FF2B5EF4-FFF2-40B4-BE49-F238E27FC236}">
              <a16:creationId xmlns:a16="http://schemas.microsoft.com/office/drawing/2014/main" id="{1A3C2525-BEA4-45C9-AA28-86D67AB86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269081</xdr:colOff>
      <xdr:row>2</xdr:row>
      <xdr:rowOff>52387</xdr:rowOff>
    </xdr:from>
    <xdr:to>
      <xdr:col>6</xdr:col>
      <xdr:colOff>431006</xdr:colOff>
      <xdr:row>17</xdr:row>
      <xdr:rowOff>80962</xdr:rowOff>
    </xdr:to>
    <xdr:graphicFrame macro="">
      <xdr:nvGraphicFramePr>
        <xdr:cNvPr id="3" name="Chart 2">
          <a:extLst>
            <a:ext uri="{FF2B5EF4-FFF2-40B4-BE49-F238E27FC236}">
              <a16:creationId xmlns:a16="http://schemas.microsoft.com/office/drawing/2014/main" id="{973815C4-1205-8454-659C-14D825351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692943</xdr:colOff>
      <xdr:row>3</xdr:row>
      <xdr:rowOff>4762</xdr:rowOff>
    </xdr:from>
    <xdr:to>
      <xdr:col>10</xdr:col>
      <xdr:colOff>490537</xdr:colOff>
      <xdr:row>19</xdr:row>
      <xdr:rowOff>33338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C0A33A7-9B96-9821-4F2F-13F5E1DF53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12381" y="547687"/>
              <a:ext cx="5612606" cy="292417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807243</xdr:colOff>
      <xdr:row>19</xdr:row>
      <xdr:rowOff>138111</xdr:rowOff>
    </xdr:from>
    <xdr:to>
      <xdr:col>9</xdr:col>
      <xdr:colOff>547688</xdr:colOff>
      <xdr:row>34</xdr:row>
      <xdr:rowOff>38101</xdr:rowOff>
    </xdr:to>
    <xdr:graphicFrame macro="">
      <xdr:nvGraphicFramePr>
        <xdr:cNvPr id="6" name="Chart 5">
          <a:extLst>
            <a:ext uri="{FF2B5EF4-FFF2-40B4-BE49-F238E27FC236}">
              <a16:creationId xmlns:a16="http://schemas.microsoft.com/office/drawing/2014/main" id="{1561F7A2-59A8-EA87-E12D-5B0397046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88106</xdr:colOff>
      <xdr:row>3</xdr:row>
      <xdr:rowOff>61913</xdr:rowOff>
    </xdr:from>
    <xdr:to>
      <xdr:col>8</xdr:col>
      <xdr:colOff>140494</xdr:colOff>
      <xdr:row>18</xdr:row>
      <xdr:rowOff>90488</xdr:rowOff>
    </xdr:to>
    <xdr:graphicFrame macro="">
      <xdr:nvGraphicFramePr>
        <xdr:cNvPr id="7" name="Chart 6">
          <a:extLst>
            <a:ext uri="{FF2B5EF4-FFF2-40B4-BE49-F238E27FC236}">
              <a16:creationId xmlns:a16="http://schemas.microsoft.com/office/drawing/2014/main" id="{BDBF4E92-7247-C11B-0F21-07740BE2B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1323974</xdr:colOff>
      <xdr:row>1</xdr:row>
      <xdr:rowOff>61910</xdr:rowOff>
    </xdr:from>
    <xdr:to>
      <xdr:col>9</xdr:col>
      <xdr:colOff>552450</xdr:colOff>
      <xdr:row>14</xdr:row>
      <xdr:rowOff>147636</xdr:rowOff>
    </xdr:to>
    <xdr:graphicFrame macro="">
      <xdr:nvGraphicFramePr>
        <xdr:cNvPr id="3" name="Chart 2">
          <a:extLst>
            <a:ext uri="{FF2B5EF4-FFF2-40B4-BE49-F238E27FC236}">
              <a16:creationId xmlns:a16="http://schemas.microsoft.com/office/drawing/2014/main" id="{8E2A6C45-DE19-6F56-24A6-646F03846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142875</xdr:colOff>
      <xdr:row>6</xdr:row>
      <xdr:rowOff>161925</xdr:rowOff>
    </xdr:from>
    <xdr:to>
      <xdr:col>1</xdr:col>
      <xdr:colOff>1119187</xdr:colOff>
      <xdr:row>12</xdr:row>
      <xdr:rowOff>128588</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7AC97599-9131-5119-8291-52EEE4DA205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2875" y="1247775"/>
              <a:ext cx="1828800" cy="10525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14287</xdr:colOff>
      <xdr:row>6</xdr:row>
      <xdr:rowOff>95251</xdr:rowOff>
    </xdr:from>
    <xdr:to>
      <xdr:col>4</xdr:col>
      <xdr:colOff>547687</xdr:colOff>
      <xdr:row>13</xdr:row>
      <xdr:rowOff>100014</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BC214F5D-513D-126E-EE14-53D0EA37CA4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143125" y="1181101"/>
              <a:ext cx="1828800" cy="12715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628649</xdr:colOff>
      <xdr:row>6</xdr:row>
      <xdr:rowOff>28575</xdr:rowOff>
    </xdr:from>
    <xdr:to>
      <xdr:col>7</xdr:col>
      <xdr:colOff>514349</xdr:colOff>
      <xdr:row>12</xdr:row>
      <xdr:rowOff>166688</xdr:rowOff>
    </xdr:to>
    <mc:AlternateContent xmlns:mc="http://schemas.openxmlformats.org/markup-compatibility/2006">
      <mc:Choice xmlns:a14="http://schemas.microsoft.com/office/drawing/2010/main" Requires="a14">
        <xdr:graphicFrame macro="">
          <xdr:nvGraphicFramePr>
            <xdr:cNvPr id="4" name="Membership Type">
              <a:extLst>
                <a:ext uri="{FF2B5EF4-FFF2-40B4-BE49-F238E27FC236}">
                  <a16:creationId xmlns:a16="http://schemas.microsoft.com/office/drawing/2014/main" id="{C6C184B6-0FAA-907B-A068-04487AB0CA25}"/>
                </a:ext>
              </a:extLst>
            </xdr:cNvPr>
            <xdr:cNvGraphicFramePr/>
          </xdr:nvGraphicFramePr>
          <xdr:xfrm>
            <a:off x="0" y="0"/>
            <a:ext cx="0" cy="0"/>
          </xdr:xfrm>
          <a:graphic>
            <a:graphicData uri="http://schemas.microsoft.com/office/drawing/2010/slicer">
              <sle:slicer xmlns:sle="http://schemas.microsoft.com/office/drawing/2010/slicer" name="Membership Type"/>
            </a:graphicData>
          </a:graphic>
        </xdr:graphicFrame>
      </mc:Choice>
      <mc:Fallback>
        <xdr:sp macro="" textlink="">
          <xdr:nvSpPr>
            <xdr:cNvPr id="0" name=""/>
            <xdr:cNvSpPr>
              <a:spLocks noTextEdit="1"/>
            </xdr:cNvSpPr>
          </xdr:nvSpPr>
          <xdr:spPr>
            <a:xfrm>
              <a:off x="4052887" y="1114425"/>
              <a:ext cx="1828800" cy="12239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47624</xdr:colOff>
      <xdr:row>6</xdr:row>
      <xdr:rowOff>80962</xdr:rowOff>
    </xdr:from>
    <xdr:to>
      <xdr:col>10</xdr:col>
      <xdr:colOff>581024</xdr:colOff>
      <xdr:row>14</xdr:row>
      <xdr:rowOff>66675</xdr:rowOff>
    </xdr:to>
    <mc:AlternateContent xmlns:mc="http://schemas.openxmlformats.org/markup-compatibility/2006">
      <mc:Choice xmlns:a14="http://schemas.microsoft.com/office/drawing/2010/main" Requires="a14">
        <xdr:graphicFrame macro="">
          <xdr:nvGraphicFramePr>
            <xdr:cNvPr id="5" name="Being Active">
              <a:extLst>
                <a:ext uri="{FF2B5EF4-FFF2-40B4-BE49-F238E27FC236}">
                  <a16:creationId xmlns:a16="http://schemas.microsoft.com/office/drawing/2014/main" id="{5C0992E3-160B-3D31-F8BE-13DBC0FF643D}"/>
                </a:ext>
              </a:extLst>
            </xdr:cNvPr>
            <xdr:cNvGraphicFramePr/>
          </xdr:nvGraphicFramePr>
          <xdr:xfrm>
            <a:off x="0" y="0"/>
            <a:ext cx="0" cy="0"/>
          </xdr:xfrm>
          <a:graphic>
            <a:graphicData uri="http://schemas.microsoft.com/office/drawing/2010/slicer">
              <sle:slicer xmlns:sle="http://schemas.microsoft.com/office/drawing/2010/slicer" name="Being Active"/>
            </a:graphicData>
          </a:graphic>
        </xdr:graphicFrame>
      </mc:Choice>
      <mc:Fallback>
        <xdr:sp macro="" textlink="">
          <xdr:nvSpPr>
            <xdr:cNvPr id="0" name=""/>
            <xdr:cNvSpPr>
              <a:spLocks noTextEdit="1"/>
            </xdr:cNvSpPr>
          </xdr:nvSpPr>
          <xdr:spPr>
            <a:xfrm>
              <a:off x="6062662" y="1166812"/>
              <a:ext cx="1828800" cy="14335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Key%20Cities%20and%20Discoun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Cities and Discount"/>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ine Zin Thant" refreshedDate="46054.598322800928" createdVersion="8" refreshedVersion="8" minRefreshableVersion="3" recordCount="350" xr:uid="{E73E5BED-C3BD-4625-8F45-D2704D89982E}">
  <cacheSource type="worksheet">
    <worksheetSource name="Table1"/>
  </cacheSource>
  <cacheFields count="15">
    <cacheField name="Customer ID" numFmtId="0">
      <sharedItems containsSemiMixedTypes="0" containsString="0" containsNumber="1" containsInteger="1" minValue="101" maxValue="450"/>
    </cacheField>
    <cacheField name="Gender" numFmtId="0">
      <sharedItems count="2">
        <s v="Female"/>
        <s v="Male"/>
      </sharedItems>
    </cacheField>
    <cacheField name="Age" numFmtId="0">
      <sharedItems containsSemiMixedTypes="0" containsString="0" containsNumber="1" containsInteger="1" minValue="26" maxValue="43"/>
    </cacheField>
    <cacheField name="City" numFmtId="0">
      <sharedItems count="6">
        <s v="New York"/>
        <s v="Los Angeles"/>
        <s v="Chicago"/>
        <s v="San Francisco"/>
        <s v="Miami"/>
        <s v="Houston"/>
      </sharedItems>
    </cacheField>
    <cacheField name="Membership Type" numFmtId="0">
      <sharedItems count="3">
        <s v="Gold"/>
        <s v="Silver"/>
        <s v="Bronze"/>
      </sharedItems>
    </cacheField>
    <cacheField name="Total Spend" numFmtId="0">
      <sharedItems containsSemiMixedTypes="0" containsString="0" containsNumber="1" minValue="410.8" maxValue="1520.1"/>
    </cacheField>
    <cacheField name="Items Purchased" numFmtId="0">
      <sharedItems containsSemiMixedTypes="0" containsString="0" containsNumber="1" containsInteger="1" minValue="7" maxValue="21"/>
    </cacheField>
    <cacheField name="Average Rating" numFmtId="0">
      <sharedItems containsSemiMixedTypes="0" containsString="0" containsNumber="1" minValue="3" maxValue="4.9000000000000004" count="20">
        <n v="4.5999999999999996"/>
        <n v="4.0999999999999996"/>
        <n v="3.4"/>
        <n v="4.7"/>
        <n v="4"/>
        <n v="3.1"/>
        <n v="4.5"/>
        <n v="4.2"/>
        <n v="3.6"/>
        <n v="4.8"/>
        <n v="3.8"/>
        <n v="3.2"/>
        <n v="4.3"/>
        <n v="4.4000000000000004"/>
        <n v="3.5"/>
        <n v="4.9000000000000004"/>
        <n v="3.7"/>
        <n v="3"/>
        <n v="3.3"/>
        <n v="3.9"/>
      </sharedItems>
    </cacheField>
    <cacheField name="Discount Applied" numFmtId="0">
      <sharedItems/>
    </cacheField>
    <cacheField name="Days Since Last Purchase" numFmtId="0">
      <sharedItems containsSemiMixedTypes="0" containsString="0" containsNumber="1" containsInteger="1" minValue="9" maxValue="63"/>
    </cacheField>
    <cacheField name="Satisfaction Level" numFmtId="0">
      <sharedItems count="4">
        <s v="Satisfied"/>
        <s v="Neutral"/>
        <s v="Unsatisfied"/>
        <s v="No Response"/>
      </sharedItems>
    </cacheField>
    <cacheField name="Discount Applied  (Yes/No)" numFmtId="0">
      <sharedItems count="2">
        <s v="Yes"/>
        <s v="No"/>
      </sharedItems>
    </cacheField>
    <cacheField name="Age Group" numFmtId="0">
      <sharedItems count="4">
        <s v="24-29"/>
        <s v="30-35"/>
        <s v="Over 41"/>
        <s v="36-41"/>
      </sharedItems>
    </cacheField>
    <cacheField name="Being Active" numFmtId="0">
      <sharedItems count="3">
        <s v="Moderately Active"/>
        <s v="Active"/>
        <s v="Inactive"/>
      </sharedItems>
    </cacheField>
    <cacheField name="Satisfaction Score" numFmtId="0">
      <sharedItems containsMixedTypes="1" containsNumber="1" minValue="0" maxValue="1"/>
    </cacheField>
  </cacheFields>
  <extLst>
    <ext xmlns:x14="http://schemas.microsoft.com/office/spreadsheetml/2009/9/main" uri="{725AE2AE-9491-48be-B2B4-4EB974FC3084}">
      <x14:pivotCacheDefinition pivotCacheId="1416460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n v="101"/>
    <x v="0"/>
    <n v="29"/>
    <x v="0"/>
    <x v="0"/>
    <n v="1120.2"/>
    <n v="14"/>
    <x v="0"/>
    <b v="1"/>
    <n v="25"/>
    <x v="0"/>
    <x v="0"/>
    <x v="0"/>
    <x v="0"/>
    <n v="1"/>
  </r>
  <r>
    <n v="102"/>
    <x v="1"/>
    <n v="34"/>
    <x v="1"/>
    <x v="1"/>
    <n v="780.5"/>
    <n v="11"/>
    <x v="1"/>
    <b v="0"/>
    <n v="18"/>
    <x v="1"/>
    <x v="1"/>
    <x v="1"/>
    <x v="1"/>
    <n v="0.5"/>
  </r>
  <r>
    <n v="103"/>
    <x v="0"/>
    <n v="43"/>
    <x v="2"/>
    <x v="2"/>
    <n v="510.75"/>
    <n v="9"/>
    <x v="2"/>
    <b v="1"/>
    <n v="42"/>
    <x v="2"/>
    <x v="0"/>
    <x v="2"/>
    <x v="0"/>
    <n v="0"/>
  </r>
  <r>
    <n v="104"/>
    <x v="1"/>
    <n v="30"/>
    <x v="3"/>
    <x v="0"/>
    <n v="1480.3"/>
    <n v="19"/>
    <x v="3"/>
    <b v="0"/>
    <n v="12"/>
    <x v="0"/>
    <x v="1"/>
    <x v="1"/>
    <x v="1"/>
    <n v="1"/>
  </r>
  <r>
    <n v="105"/>
    <x v="1"/>
    <n v="27"/>
    <x v="4"/>
    <x v="1"/>
    <n v="720.4"/>
    <n v="13"/>
    <x v="4"/>
    <b v="1"/>
    <n v="55"/>
    <x v="2"/>
    <x v="0"/>
    <x v="0"/>
    <x v="2"/>
    <n v="0"/>
  </r>
  <r>
    <n v="106"/>
    <x v="0"/>
    <n v="37"/>
    <x v="5"/>
    <x v="2"/>
    <n v="440.8"/>
    <n v="8"/>
    <x v="5"/>
    <b v="0"/>
    <n v="22"/>
    <x v="1"/>
    <x v="1"/>
    <x v="3"/>
    <x v="0"/>
    <n v="0.5"/>
  </r>
  <r>
    <n v="107"/>
    <x v="0"/>
    <n v="31"/>
    <x v="0"/>
    <x v="0"/>
    <n v="1150.5999999999999"/>
    <n v="15"/>
    <x v="6"/>
    <b v="1"/>
    <n v="28"/>
    <x v="0"/>
    <x v="0"/>
    <x v="1"/>
    <x v="0"/>
    <n v="1"/>
  </r>
  <r>
    <n v="108"/>
    <x v="1"/>
    <n v="35"/>
    <x v="1"/>
    <x v="1"/>
    <n v="800.9"/>
    <n v="12"/>
    <x v="7"/>
    <b v="0"/>
    <n v="14"/>
    <x v="1"/>
    <x v="1"/>
    <x v="1"/>
    <x v="1"/>
    <n v="0.5"/>
  </r>
  <r>
    <n v="109"/>
    <x v="0"/>
    <n v="41"/>
    <x v="2"/>
    <x v="2"/>
    <n v="495.25"/>
    <n v="10"/>
    <x v="8"/>
    <b v="1"/>
    <n v="40"/>
    <x v="2"/>
    <x v="0"/>
    <x v="3"/>
    <x v="0"/>
    <n v="0"/>
  </r>
  <r>
    <n v="110"/>
    <x v="1"/>
    <n v="28"/>
    <x v="3"/>
    <x v="0"/>
    <n v="1520.1"/>
    <n v="21"/>
    <x v="9"/>
    <b v="0"/>
    <n v="9"/>
    <x v="0"/>
    <x v="1"/>
    <x v="0"/>
    <x v="1"/>
    <n v="1"/>
  </r>
  <r>
    <n v="111"/>
    <x v="1"/>
    <n v="32"/>
    <x v="4"/>
    <x v="1"/>
    <n v="690.3"/>
    <n v="11"/>
    <x v="10"/>
    <b v="1"/>
    <n v="34"/>
    <x v="2"/>
    <x v="0"/>
    <x v="1"/>
    <x v="0"/>
    <n v="0"/>
  </r>
  <r>
    <n v="112"/>
    <x v="0"/>
    <n v="36"/>
    <x v="5"/>
    <x v="2"/>
    <n v="470.5"/>
    <n v="7"/>
    <x v="11"/>
    <b v="0"/>
    <n v="20"/>
    <x v="1"/>
    <x v="1"/>
    <x v="3"/>
    <x v="1"/>
    <n v="0.5"/>
  </r>
  <r>
    <n v="113"/>
    <x v="0"/>
    <n v="30"/>
    <x v="0"/>
    <x v="0"/>
    <n v="1200.8"/>
    <n v="16"/>
    <x v="12"/>
    <b v="1"/>
    <n v="21"/>
    <x v="0"/>
    <x v="0"/>
    <x v="1"/>
    <x v="0"/>
    <n v="1"/>
  </r>
  <r>
    <n v="114"/>
    <x v="1"/>
    <n v="33"/>
    <x v="1"/>
    <x v="1"/>
    <n v="820.75"/>
    <n v="13"/>
    <x v="13"/>
    <b v="0"/>
    <n v="15"/>
    <x v="0"/>
    <x v="1"/>
    <x v="1"/>
    <x v="1"/>
    <n v="1"/>
  </r>
  <r>
    <n v="115"/>
    <x v="0"/>
    <n v="42"/>
    <x v="2"/>
    <x v="2"/>
    <n v="530.4"/>
    <n v="9"/>
    <x v="14"/>
    <b v="1"/>
    <n v="38"/>
    <x v="2"/>
    <x v="0"/>
    <x v="2"/>
    <x v="0"/>
    <n v="0"/>
  </r>
  <r>
    <n v="116"/>
    <x v="1"/>
    <n v="29"/>
    <x v="3"/>
    <x v="0"/>
    <n v="1360.2"/>
    <n v="18"/>
    <x v="15"/>
    <b v="0"/>
    <n v="11"/>
    <x v="0"/>
    <x v="1"/>
    <x v="0"/>
    <x v="1"/>
    <n v="1"/>
  </r>
  <r>
    <n v="117"/>
    <x v="1"/>
    <n v="26"/>
    <x v="4"/>
    <x v="1"/>
    <n v="700.6"/>
    <n v="12"/>
    <x v="16"/>
    <b v="1"/>
    <n v="48"/>
    <x v="2"/>
    <x v="0"/>
    <x v="0"/>
    <x v="2"/>
    <n v="0"/>
  </r>
  <r>
    <n v="118"/>
    <x v="0"/>
    <n v="38"/>
    <x v="5"/>
    <x v="2"/>
    <n v="450.9"/>
    <n v="8"/>
    <x v="17"/>
    <b v="0"/>
    <n v="25"/>
    <x v="1"/>
    <x v="1"/>
    <x v="3"/>
    <x v="0"/>
    <n v="0.5"/>
  </r>
  <r>
    <n v="119"/>
    <x v="0"/>
    <n v="32"/>
    <x v="0"/>
    <x v="0"/>
    <n v="1170.3"/>
    <n v="14"/>
    <x v="3"/>
    <b v="1"/>
    <n v="29"/>
    <x v="0"/>
    <x v="0"/>
    <x v="1"/>
    <x v="0"/>
    <n v="1"/>
  </r>
  <r>
    <n v="120"/>
    <x v="1"/>
    <n v="34"/>
    <x v="1"/>
    <x v="1"/>
    <n v="790.2"/>
    <n v="11"/>
    <x v="4"/>
    <b v="0"/>
    <n v="16"/>
    <x v="1"/>
    <x v="1"/>
    <x v="1"/>
    <x v="1"/>
    <n v="0.5"/>
  </r>
  <r>
    <n v="121"/>
    <x v="0"/>
    <n v="43"/>
    <x v="2"/>
    <x v="2"/>
    <n v="505.75"/>
    <n v="10"/>
    <x v="18"/>
    <b v="1"/>
    <n v="41"/>
    <x v="2"/>
    <x v="0"/>
    <x v="2"/>
    <x v="0"/>
    <n v="0"/>
  </r>
  <r>
    <n v="122"/>
    <x v="1"/>
    <n v="30"/>
    <x v="3"/>
    <x v="0"/>
    <n v="1470.5"/>
    <n v="20"/>
    <x v="9"/>
    <b v="0"/>
    <n v="13"/>
    <x v="0"/>
    <x v="1"/>
    <x v="1"/>
    <x v="1"/>
    <n v="1"/>
  </r>
  <r>
    <n v="123"/>
    <x v="1"/>
    <n v="27"/>
    <x v="4"/>
    <x v="1"/>
    <n v="710.4"/>
    <n v="13"/>
    <x v="1"/>
    <b v="1"/>
    <n v="54"/>
    <x v="2"/>
    <x v="0"/>
    <x v="0"/>
    <x v="2"/>
    <n v="0"/>
  </r>
  <r>
    <n v="124"/>
    <x v="0"/>
    <n v="37"/>
    <x v="5"/>
    <x v="2"/>
    <n v="430.8"/>
    <n v="7"/>
    <x v="2"/>
    <b v="0"/>
    <n v="23"/>
    <x v="1"/>
    <x v="1"/>
    <x v="3"/>
    <x v="0"/>
    <n v="0.5"/>
  </r>
  <r>
    <n v="125"/>
    <x v="0"/>
    <n v="31"/>
    <x v="0"/>
    <x v="0"/>
    <n v="1140.5999999999999"/>
    <n v="15"/>
    <x v="0"/>
    <b v="1"/>
    <n v="27"/>
    <x v="0"/>
    <x v="0"/>
    <x v="1"/>
    <x v="0"/>
    <n v="1"/>
  </r>
  <r>
    <n v="126"/>
    <x v="1"/>
    <n v="35"/>
    <x v="1"/>
    <x v="1"/>
    <n v="810.9"/>
    <n v="12"/>
    <x v="12"/>
    <b v="0"/>
    <n v="13"/>
    <x v="1"/>
    <x v="1"/>
    <x v="1"/>
    <x v="1"/>
    <n v="0.5"/>
  </r>
  <r>
    <n v="127"/>
    <x v="0"/>
    <n v="41"/>
    <x v="2"/>
    <x v="2"/>
    <n v="485.25"/>
    <n v="9"/>
    <x v="8"/>
    <b v="1"/>
    <n v="39"/>
    <x v="2"/>
    <x v="0"/>
    <x v="3"/>
    <x v="0"/>
    <n v="0"/>
  </r>
  <r>
    <n v="128"/>
    <x v="1"/>
    <n v="28"/>
    <x v="3"/>
    <x v="0"/>
    <n v="1500.1"/>
    <n v="21"/>
    <x v="15"/>
    <b v="0"/>
    <n v="10"/>
    <x v="0"/>
    <x v="1"/>
    <x v="0"/>
    <x v="1"/>
    <n v="1"/>
  </r>
  <r>
    <n v="129"/>
    <x v="1"/>
    <n v="32"/>
    <x v="4"/>
    <x v="1"/>
    <n v="670.3"/>
    <n v="10"/>
    <x v="10"/>
    <b v="1"/>
    <n v="33"/>
    <x v="2"/>
    <x v="0"/>
    <x v="1"/>
    <x v="0"/>
    <n v="0"/>
  </r>
  <r>
    <n v="130"/>
    <x v="0"/>
    <n v="36"/>
    <x v="5"/>
    <x v="2"/>
    <n v="460.5"/>
    <n v="8"/>
    <x v="5"/>
    <b v="0"/>
    <n v="19"/>
    <x v="1"/>
    <x v="1"/>
    <x v="3"/>
    <x v="1"/>
    <n v="0.5"/>
  </r>
  <r>
    <n v="131"/>
    <x v="0"/>
    <n v="30"/>
    <x v="0"/>
    <x v="0"/>
    <n v="1190.8"/>
    <n v="16"/>
    <x v="6"/>
    <b v="1"/>
    <n v="20"/>
    <x v="0"/>
    <x v="0"/>
    <x v="1"/>
    <x v="1"/>
    <n v="1"/>
  </r>
  <r>
    <n v="132"/>
    <x v="1"/>
    <n v="33"/>
    <x v="1"/>
    <x v="1"/>
    <n v="830.75"/>
    <n v="13"/>
    <x v="7"/>
    <b v="0"/>
    <n v="14"/>
    <x v="0"/>
    <x v="1"/>
    <x v="1"/>
    <x v="1"/>
    <n v="1"/>
  </r>
  <r>
    <n v="133"/>
    <x v="0"/>
    <n v="42"/>
    <x v="2"/>
    <x v="2"/>
    <n v="520.4"/>
    <n v="9"/>
    <x v="14"/>
    <b v="1"/>
    <n v="37"/>
    <x v="2"/>
    <x v="0"/>
    <x v="2"/>
    <x v="0"/>
    <n v="0"/>
  </r>
  <r>
    <n v="134"/>
    <x v="1"/>
    <n v="29"/>
    <x v="3"/>
    <x v="0"/>
    <n v="1370.2"/>
    <n v="18"/>
    <x v="3"/>
    <b v="0"/>
    <n v="10"/>
    <x v="0"/>
    <x v="1"/>
    <x v="0"/>
    <x v="1"/>
    <n v="1"/>
  </r>
  <r>
    <n v="135"/>
    <x v="1"/>
    <n v="26"/>
    <x v="4"/>
    <x v="1"/>
    <n v="690.6"/>
    <n v="12"/>
    <x v="19"/>
    <b v="1"/>
    <n v="47"/>
    <x v="2"/>
    <x v="0"/>
    <x v="0"/>
    <x v="2"/>
    <n v="0"/>
  </r>
  <r>
    <n v="136"/>
    <x v="0"/>
    <n v="38"/>
    <x v="5"/>
    <x v="2"/>
    <n v="440.9"/>
    <n v="8"/>
    <x v="11"/>
    <b v="0"/>
    <n v="24"/>
    <x v="1"/>
    <x v="1"/>
    <x v="3"/>
    <x v="0"/>
    <n v="0.5"/>
  </r>
  <r>
    <n v="137"/>
    <x v="0"/>
    <n v="32"/>
    <x v="0"/>
    <x v="0"/>
    <n v="1160.3"/>
    <n v="14"/>
    <x v="13"/>
    <b v="1"/>
    <n v="22"/>
    <x v="0"/>
    <x v="0"/>
    <x v="1"/>
    <x v="0"/>
    <n v="1"/>
  </r>
  <r>
    <n v="138"/>
    <x v="1"/>
    <n v="34"/>
    <x v="1"/>
    <x v="1"/>
    <n v="800.2"/>
    <n v="11"/>
    <x v="1"/>
    <b v="0"/>
    <n v="17"/>
    <x v="1"/>
    <x v="1"/>
    <x v="1"/>
    <x v="1"/>
    <n v="0.5"/>
  </r>
  <r>
    <n v="139"/>
    <x v="0"/>
    <n v="43"/>
    <x v="2"/>
    <x v="2"/>
    <n v="500.75"/>
    <n v="10"/>
    <x v="18"/>
    <b v="1"/>
    <n v="40"/>
    <x v="2"/>
    <x v="0"/>
    <x v="2"/>
    <x v="0"/>
    <n v="0"/>
  </r>
  <r>
    <n v="140"/>
    <x v="1"/>
    <n v="30"/>
    <x v="3"/>
    <x v="0"/>
    <n v="1460.5"/>
    <n v="20"/>
    <x v="9"/>
    <b v="0"/>
    <n v="12"/>
    <x v="0"/>
    <x v="1"/>
    <x v="1"/>
    <x v="1"/>
    <n v="1"/>
  </r>
  <r>
    <n v="141"/>
    <x v="1"/>
    <n v="27"/>
    <x v="4"/>
    <x v="1"/>
    <n v="700.4"/>
    <n v="13"/>
    <x v="4"/>
    <b v="1"/>
    <n v="53"/>
    <x v="2"/>
    <x v="0"/>
    <x v="0"/>
    <x v="2"/>
    <n v="0"/>
  </r>
  <r>
    <n v="142"/>
    <x v="0"/>
    <n v="37"/>
    <x v="5"/>
    <x v="2"/>
    <n v="420.8"/>
    <n v="7"/>
    <x v="5"/>
    <b v="0"/>
    <n v="21"/>
    <x v="1"/>
    <x v="1"/>
    <x v="3"/>
    <x v="0"/>
    <n v="0.5"/>
  </r>
  <r>
    <n v="143"/>
    <x v="0"/>
    <n v="31"/>
    <x v="0"/>
    <x v="0"/>
    <n v="1130.5999999999999"/>
    <n v="15"/>
    <x v="6"/>
    <b v="1"/>
    <n v="26"/>
    <x v="0"/>
    <x v="0"/>
    <x v="1"/>
    <x v="0"/>
    <n v="1"/>
  </r>
  <r>
    <n v="144"/>
    <x v="1"/>
    <n v="35"/>
    <x v="1"/>
    <x v="1"/>
    <n v="820.9"/>
    <n v="12"/>
    <x v="12"/>
    <b v="0"/>
    <n v="12"/>
    <x v="1"/>
    <x v="1"/>
    <x v="1"/>
    <x v="1"/>
    <n v="0.5"/>
  </r>
  <r>
    <n v="145"/>
    <x v="0"/>
    <n v="41"/>
    <x v="2"/>
    <x v="2"/>
    <n v="480.25"/>
    <n v="9"/>
    <x v="8"/>
    <b v="1"/>
    <n v="38"/>
    <x v="2"/>
    <x v="0"/>
    <x v="3"/>
    <x v="0"/>
    <n v="0"/>
  </r>
  <r>
    <n v="146"/>
    <x v="1"/>
    <n v="28"/>
    <x v="3"/>
    <x v="0"/>
    <n v="1490.1"/>
    <n v="21"/>
    <x v="15"/>
    <b v="0"/>
    <n v="9"/>
    <x v="0"/>
    <x v="1"/>
    <x v="0"/>
    <x v="1"/>
    <n v="1"/>
  </r>
  <r>
    <n v="147"/>
    <x v="1"/>
    <n v="32"/>
    <x v="4"/>
    <x v="1"/>
    <n v="680.3"/>
    <n v="10"/>
    <x v="10"/>
    <b v="1"/>
    <n v="32"/>
    <x v="2"/>
    <x v="0"/>
    <x v="1"/>
    <x v="0"/>
    <n v="0"/>
  </r>
  <r>
    <n v="148"/>
    <x v="0"/>
    <n v="36"/>
    <x v="5"/>
    <x v="2"/>
    <n v="470.5"/>
    <n v="8"/>
    <x v="17"/>
    <b v="0"/>
    <n v="18"/>
    <x v="1"/>
    <x v="1"/>
    <x v="3"/>
    <x v="1"/>
    <n v="0.5"/>
  </r>
  <r>
    <n v="149"/>
    <x v="0"/>
    <n v="30"/>
    <x v="0"/>
    <x v="0"/>
    <n v="1180.8"/>
    <n v="16"/>
    <x v="3"/>
    <b v="1"/>
    <n v="19"/>
    <x v="0"/>
    <x v="0"/>
    <x v="1"/>
    <x v="1"/>
    <n v="1"/>
  </r>
  <r>
    <n v="150"/>
    <x v="1"/>
    <n v="34"/>
    <x v="1"/>
    <x v="1"/>
    <n v="790.2"/>
    <n v="11"/>
    <x v="4"/>
    <b v="0"/>
    <n v="15"/>
    <x v="1"/>
    <x v="1"/>
    <x v="1"/>
    <x v="1"/>
    <n v="0.5"/>
  </r>
  <r>
    <n v="151"/>
    <x v="0"/>
    <n v="43"/>
    <x v="2"/>
    <x v="2"/>
    <n v="505.75"/>
    <n v="10"/>
    <x v="18"/>
    <b v="1"/>
    <n v="39"/>
    <x v="2"/>
    <x v="0"/>
    <x v="2"/>
    <x v="0"/>
    <n v="0"/>
  </r>
  <r>
    <n v="152"/>
    <x v="1"/>
    <n v="30"/>
    <x v="3"/>
    <x v="0"/>
    <n v="1470.5"/>
    <n v="20"/>
    <x v="9"/>
    <b v="0"/>
    <n v="13"/>
    <x v="0"/>
    <x v="1"/>
    <x v="1"/>
    <x v="1"/>
    <n v="1"/>
  </r>
  <r>
    <n v="153"/>
    <x v="1"/>
    <n v="27"/>
    <x v="4"/>
    <x v="1"/>
    <n v="710.4"/>
    <n v="13"/>
    <x v="1"/>
    <b v="1"/>
    <n v="54"/>
    <x v="2"/>
    <x v="0"/>
    <x v="0"/>
    <x v="2"/>
    <n v="0"/>
  </r>
  <r>
    <n v="154"/>
    <x v="0"/>
    <n v="37"/>
    <x v="5"/>
    <x v="2"/>
    <n v="430.8"/>
    <n v="7"/>
    <x v="2"/>
    <b v="0"/>
    <n v="23"/>
    <x v="1"/>
    <x v="1"/>
    <x v="3"/>
    <x v="0"/>
    <n v="0.5"/>
  </r>
  <r>
    <n v="155"/>
    <x v="0"/>
    <n v="31"/>
    <x v="0"/>
    <x v="0"/>
    <n v="1140.5999999999999"/>
    <n v="15"/>
    <x v="0"/>
    <b v="1"/>
    <n v="27"/>
    <x v="0"/>
    <x v="0"/>
    <x v="1"/>
    <x v="0"/>
    <n v="1"/>
  </r>
  <r>
    <n v="156"/>
    <x v="1"/>
    <n v="35"/>
    <x v="1"/>
    <x v="1"/>
    <n v="810.9"/>
    <n v="12"/>
    <x v="12"/>
    <b v="0"/>
    <n v="13"/>
    <x v="1"/>
    <x v="1"/>
    <x v="1"/>
    <x v="1"/>
    <n v="0.5"/>
  </r>
  <r>
    <n v="157"/>
    <x v="0"/>
    <n v="41"/>
    <x v="2"/>
    <x v="2"/>
    <n v="485.25"/>
    <n v="9"/>
    <x v="8"/>
    <b v="1"/>
    <n v="39"/>
    <x v="2"/>
    <x v="0"/>
    <x v="3"/>
    <x v="0"/>
    <n v="0"/>
  </r>
  <r>
    <n v="158"/>
    <x v="1"/>
    <n v="28"/>
    <x v="3"/>
    <x v="0"/>
    <n v="1500.1"/>
    <n v="21"/>
    <x v="15"/>
    <b v="0"/>
    <n v="10"/>
    <x v="0"/>
    <x v="1"/>
    <x v="0"/>
    <x v="1"/>
    <n v="1"/>
  </r>
  <r>
    <n v="159"/>
    <x v="1"/>
    <n v="32"/>
    <x v="4"/>
    <x v="1"/>
    <n v="670.3"/>
    <n v="10"/>
    <x v="10"/>
    <b v="1"/>
    <n v="33"/>
    <x v="2"/>
    <x v="0"/>
    <x v="1"/>
    <x v="0"/>
    <n v="0"/>
  </r>
  <r>
    <n v="160"/>
    <x v="0"/>
    <n v="36"/>
    <x v="5"/>
    <x v="2"/>
    <n v="460.5"/>
    <n v="8"/>
    <x v="5"/>
    <b v="0"/>
    <n v="19"/>
    <x v="1"/>
    <x v="1"/>
    <x v="3"/>
    <x v="1"/>
    <n v="0.5"/>
  </r>
  <r>
    <n v="161"/>
    <x v="0"/>
    <n v="30"/>
    <x v="0"/>
    <x v="0"/>
    <n v="1190.8"/>
    <n v="16"/>
    <x v="6"/>
    <b v="1"/>
    <n v="20"/>
    <x v="0"/>
    <x v="0"/>
    <x v="1"/>
    <x v="1"/>
    <n v="1"/>
  </r>
  <r>
    <n v="162"/>
    <x v="1"/>
    <n v="33"/>
    <x v="1"/>
    <x v="1"/>
    <n v="830.75"/>
    <n v="13"/>
    <x v="7"/>
    <b v="0"/>
    <n v="14"/>
    <x v="0"/>
    <x v="1"/>
    <x v="1"/>
    <x v="1"/>
    <n v="1"/>
  </r>
  <r>
    <n v="163"/>
    <x v="0"/>
    <n v="42"/>
    <x v="2"/>
    <x v="2"/>
    <n v="520.4"/>
    <n v="9"/>
    <x v="14"/>
    <b v="1"/>
    <n v="37"/>
    <x v="2"/>
    <x v="0"/>
    <x v="2"/>
    <x v="0"/>
    <n v="0"/>
  </r>
  <r>
    <n v="164"/>
    <x v="1"/>
    <n v="29"/>
    <x v="3"/>
    <x v="0"/>
    <n v="1370.2"/>
    <n v="18"/>
    <x v="3"/>
    <b v="0"/>
    <n v="10"/>
    <x v="0"/>
    <x v="1"/>
    <x v="0"/>
    <x v="1"/>
    <n v="1"/>
  </r>
  <r>
    <n v="165"/>
    <x v="1"/>
    <n v="26"/>
    <x v="4"/>
    <x v="1"/>
    <n v="690.6"/>
    <n v="12"/>
    <x v="19"/>
    <b v="1"/>
    <n v="47"/>
    <x v="2"/>
    <x v="0"/>
    <x v="0"/>
    <x v="2"/>
    <n v="0"/>
  </r>
  <r>
    <n v="166"/>
    <x v="0"/>
    <n v="38"/>
    <x v="5"/>
    <x v="2"/>
    <n v="440.9"/>
    <n v="8"/>
    <x v="11"/>
    <b v="0"/>
    <n v="24"/>
    <x v="1"/>
    <x v="1"/>
    <x v="3"/>
    <x v="0"/>
    <n v="0.5"/>
  </r>
  <r>
    <n v="167"/>
    <x v="0"/>
    <n v="32"/>
    <x v="0"/>
    <x v="0"/>
    <n v="1160.3"/>
    <n v="14"/>
    <x v="13"/>
    <b v="1"/>
    <n v="22"/>
    <x v="0"/>
    <x v="0"/>
    <x v="1"/>
    <x v="0"/>
    <n v="1"/>
  </r>
  <r>
    <n v="168"/>
    <x v="1"/>
    <n v="34"/>
    <x v="1"/>
    <x v="1"/>
    <n v="800.2"/>
    <n v="11"/>
    <x v="1"/>
    <b v="0"/>
    <n v="17"/>
    <x v="1"/>
    <x v="1"/>
    <x v="1"/>
    <x v="1"/>
    <n v="0.5"/>
  </r>
  <r>
    <n v="169"/>
    <x v="0"/>
    <n v="43"/>
    <x v="2"/>
    <x v="2"/>
    <n v="500.75"/>
    <n v="10"/>
    <x v="18"/>
    <b v="1"/>
    <n v="40"/>
    <x v="2"/>
    <x v="0"/>
    <x v="2"/>
    <x v="0"/>
    <n v="0"/>
  </r>
  <r>
    <n v="170"/>
    <x v="1"/>
    <n v="30"/>
    <x v="3"/>
    <x v="0"/>
    <n v="1460.5"/>
    <n v="20"/>
    <x v="9"/>
    <b v="0"/>
    <n v="12"/>
    <x v="0"/>
    <x v="1"/>
    <x v="1"/>
    <x v="1"/>
    <n v="1"/>
  </r>
  <r>
    <n v="171"/>
    <x v="1"/>
    <n v="27"/>
    <x v="4"/>
    <x v="1"/>
    <n v="700.4"/>
    <n v="13"/>
    <x v="4"/>
    <b v="1"/>
    <n v="53"/>
    <x v="2"/>
    <x v="0"/>
    <x v="0"/>
    <x v="2"/>
    <n v="0"/>
  </r>
  <r>
    <n v="172"/>
    <x v="0"/>
    <n v="37"/>
    <x v="5"/>
    <x v="2"/>
    <n v="420.8"/>
    <n v="7"/>
    <x v="5"/>
    <b v="0"/>
    <n v="21"/>
    <x v="3"/>
    <x v="1"/>
    <x v="3"/>
    <x v="0"/>
    <s v="0"/>
  </r>
  <r>
    <n v="173"/>
    <x v="0"/>
    <n v="31"/>
    <x v="0"/>
    <x v="0"/>
    <n v="1130.5999999999999"/>
    <n v="15"/>
    <x v="6"/>
    <b v="1"/>
    <n v="26"/>
    <x v="0"/>
    <x v="0"/>
    <x v="1"/>
    <x v="0"/>
    <n v="1"/>
  </r>
  <r>
    <n v="174"/>
    <x v="1"/>
    <n v="35"/>
    <x v="1"/>
    <x v="1"/>
    <n v="820.9"/>
    <n v="12"/>
    <x v="12"/>
    <b v="0"/>
    <n v="12"/>
    <x v="1"/>
    <x v="1"/>
    <x v="1"/>
    <x v="1"/>
    <n v="0.5"/>
  </r>
  <r>
    <n v="175"/>
    <x v="0"/>
    <n v="41"/>
    <x v="2"/>
    <x v="2"/>
    <n v="480.25"/>
    <n v="9"/>
    <x v="8"/>
    <b v="1"/>
    <n v="38"/>
    <x v="2"/>
    <x v="0"/>
    <x v="3"/>
    <x v="0"/>
    <n v="0"/>
  </r>
  <r>
    <n v="176"/>
    <x v="1"/>
    <n v="28"/>
    <x v="3"/>
    <x v="0"/>
    <n v="1490.1"/>
    <n v="21"/>
    <x v="15"/>
    <b v="0"/>
    <n v="9"/>
    <x v="0"/>
    <x v="1"/>
    <x v="0"/>
    <x v="1"/>
    <n v="1"/>
  </r>
  <r>
    <n v="177"/>
    <x v="1"/>
    <n v="32"/>
    <x v="4"/>
    <x v="1"/>
    <n v="680.3"/>
    <n v="10"/>
    <x v="10"/>
    <b v="1"/>
    <n v="32"/>
    <x v="2"/>
    <x v="0"/>
    <x v="1"/>
    <x v="0"/>
    <n v="0"/>
  </r>
  <r>
    <n v="178"/>
    <x v="0"/>
    <n v="36"/>
    <x v="5"/>
    <x v="2"/>
    <n v="470.5"/>
    <n v="8"/>
    <x v="17"/>
    <b v="0"/>
    <n v="18"/>
    <x v="1"/>
    <x v="1"/>
    <x v="3"/>
    <x v="1"/>
    <n v="0.5"/>
  </r>
  <r>
    <n v="179"/>
    <x v="0"/>
    <n v="30"/>
    <x v="0"/>
    <x v="0"/>
    <n v="1180.8"/>
    <n v="16"/>
    <x v="3"/>
    <b v="1"/>
    <n v="19"/>
    <x v="0"/>
    <x v="0"/>
    <x v="1"/>
    <x v="1"/>
    <n v="1"/>
  </r>
  <r>
    <n v="180"/>
    <x v="1"/>
    <n v="34"/>
    <x v="1"/>
    <x v="1"/>
    <n v="790.2"/>
    <n v="11"/>
    <x v="4"/>
    <b v="0"/>
    <n v="15"/>
    <x v="1"/>
    <x v="1"/>
    <x v="1"/>
    <x v="1"/>
    <n v="0.5"/>
  </r>
  <r>
    <n v="181"/>
    <x v="0"/>
    <n v="43"/>
    <x v="2"/>
    <x v="2"/>
    <n v="505.75"/>
    <n v="10"/>
    <x v="18"/>
    <b v="1"/>
    <n v="39"/>
    <x v="2"/>
    <x v="0"/>
    <x v="2"/>
    <x v="0"/>
    <n v="0"/>
  </r>
  <r>
    <n v="182"/>
    <x v="1"/>
    <n v="30"/>
    <x v="3"/>
    <x v="0"/>
    <n v="1470.5"/>
    <n v="20"/>
    <x v="9"/>
    <b v="0"/>
    <n v="13"/>
    <x v="0"/>
    <x v="1"/>
    <x v="1"/>
    <x v="1"/>
    <n v="1"/>
  </r>
  <r>
    <n v="183"/>
    <x v="1"/>
    <n v="27"/>
    <x v="4"/>
    <x v="1"/>
    <n v="710.4"/>
    <n v="13"/>
    <x v="1"/>
    <b v="1"/>
    <n v="54"/>
    <x v="2"/>
    <x v="0"/>
    <x v="0"/>
    <x v="2"/>
    <n v="0"/>
  </r>
  <r>
    <n v="184"/>
    <x v="0"/>
    <n v="37"/>
    <x v="5"/>
    <x v="2"/>
    <n v="430.8"/>
    <n v="7"/>
    <x v="2"/>
    <b v="0"/>
    <n v="23"/>
    <x v="1"/>
    <x v="1"/>
    <x v="3"/>
    <x v="0"/>
    <n v="0.5"/>
  </r>
  <r>
    <n v="185"/>
    <x v="0"/>
    <n v="31"/>
    <x v="0"/>
    <x v="0"/>
    <n v="1140.5999999999999"/>
    <n v="15"/>
    <x v="0"/>
    <b v="1"/>
    <n v="27"/>
    <x v="0"/>
    <x v="0"/>
    <x v="1"/>
    <x v="0"/>
    <n v="1"/>
  </r>
  <r>
    <n v="186"/>
    <x v="1"/>
    <n v="35"/>
    <x v="1"/>
    <x v="1"/>
    <n v="810.9"/>
    <n v="12"/>
    <x v="12"/>
    <b v="0"/>
    <n v="13"/>
    <x v="1"/>
    <x v="1"/>
    <x v="1"/>
    <x v="1"/>
    <n v="0.5"/>
  </r>
  <r>
    <n v="187"/>
    <x v="0"/>
    <n v="41"/>
    <x v="2"/>
    <x v="2"/>
    <n v="485.25"/>
    <n v="9"/>
    <x v="8"/>
    <b v="1"/>
    <n v="39"/>
    <x v="2"/>
    <x v="0"/>
    <x v="3"/>
    <x v="0"/>
    <n v="0"/>
  </r>
  <r>
    <n v="188"/>
    <x v="1"/>
    <n v="28"/>
    <x v="3"/>
    <x v="0"/>
    <n v="1500.1"/>
    <n v="21"/>
    <x v="15"/>
    <b v="0"/>
    <n v="10"/>
    <x v="0"/>
    <x v="1"/>
    <x v="0"/>
    <x v="1"/>
    <n v="1"/>
  </r>
  <r>
    <n v="189"/>
    <x v="1"/>
    <n v="32"/>
    <x v="4"/>
    <x v="1"/>
    <n v="670.3"/>
    <n v="10"/>
    <x v="10"/>
    <b v="1"/>
    <n v="33"/>
    <x v="2"/>
    <x v="0"/>
    <x v="1"/>
    <x v="0"/>
    <n v="0"/>
  </r>
  <r>
    <n v="190"/>
    <x v="0"/>
    <n v="36"/>
    <x v="5"/>
    <x v="2"/>
    <n v="460.5"/>
    <n v="8"/>
    <x v="5"/>
    <b v="0"/>
    <n v="19"/>
    <x v="1"/>
    <x v="1"/>
    <x v="3"/>
    <x v="1"/>
    <n v="0.5"/>
  </r>
  <r>
    <n v="191"/>
    <x v="0"/>
    <n v="30"/>
    <x v="0"/>
    <x v="0"/>
    <n v="1190.8"/>
    <n v="16"/>
    <x v="6"/>
    <b v="1"/>
    <n v="20"/>
    <x v="0"/>
    <x v="0"/>
    <x v="1"/>
    <x v="1"/>
    <n v="1"/>
  </r>
  <r>
    <n v="192"/>
    <x v="1"/>
    <n v="33"/>
    <x v="1"/>
    <x v="1"/>
    <n v="830.75"/>
    <n v="13"/>
    <x v="7"/>
    <b v="0"/>
    <n v="14"/>
    <x v="0"/>
    <x v="1"/>
    <x v="1"/>
    <x v="1"/>
    <n v="1"/>
  </r>
  <r>
    <n v="193"/>
    <x v="0"/>
    <n v="42"/>
    <x v="2"/>
    <x v="2"/>
    <n v="520.4"/>
    <n v="9"/>
    <x v="14"/>
    <b v="1"/>
    <n v="37"/>
    <x v="2"/>
    <x v="0"/>
    <x v="2"/>
    <x v="0"/>
    <n v="0"/>
  </r>
  <r>
    <n v="194"/>
    <x v="1"/>
    <n v="29"/>
    <x v="3"/>
    <x v="0"/>
    <n v="1370.2"/>
    <n v="18"/>
    <x v="3"/>
    <b v="0"/>
    <n v="10"/>
    <x v="0"/>
    <x v="1"/>
    <x v="0"/>
    <x v="1"/>
    <n v="1"/>
  </r>
  <r>
    <n v="195"/>
    <x v="1"/>
    <n v="26"/>
    <x v="4"/>
    <x v="1"/>
    <n v="690.6"/>
    <n v="12"/>
    <x v="19"/>
    <b v="1"/>
    <n v="47"/>
    <x v="2"/>
    <x v="0"/>
    <x v="0"/>
    <x v="2"/>
    <n v="0"/>
  </r>
  <r>
    <n v="196"/>
    <x v="0"/>
    <n v="38"/>
    <x v="5"/>
    <x v="2"/>
    <n v="440.9"/>
    <n v="8"/>
    <x v="11"/>
    <b v="0"/>
    <n v="24"/>
    <x v="1"/>
    <x v="1"/>
    <x v="3"/>
    <x v="0"/>
    <n v="0.5"/>
  </r>
  <r>
    <n v="197"/>
    <x v="0"/>
    <n v="32"/>
    <x v="0"/>
    <x v="0"/>
    <n v="1160.3"/>
    <n v="14"/>
    <x v="13"/>
    <b v="1"/>
    <n v="22"/>
    <x v="0"/>
    <x v="0"/>
    <x v="1"/>
    <x v="0"/>
    <n v="1"/>
  </r>
  <r>
    <n v="198"/>
    <x v="1"/>
    <n v="34"/>
    <x v="1"/>
    <x v="1"/>
    <n v="800.2"/>
    <n v="11"/>
    <x v="1"/>
    <b v="0"/>
    <n v="17"/>
    <x v="1"/>
    <x v="1"/>
    <x v="1"/>
    <x v="1"/>
    <n v="0.5"/>
  </r>
  <r>
    <n v="199"/>
    <x v="0"/>
    <n v="43"/>
    <x v="2"/>
    <x v="2"/>
    <n v="500.75"/>
    <n v="10"/>
    <x v="18"/>
    <b v="1"/>
    <n v="40"/>
    <x v="2"/>
    <x v="0"/>
    <x v="2"/>
    <x v="0"/>
    <n v="0"/>
  </r>
  <r>
    <n v="200"/>
    <x v="1"/>
    <n v="30"/>
    <x v="3"/>
    <x v="0"/>
    <n v="1460.5"/>
    <n v="20"/>
    <x v="9"/>
    <b v="0"/>
    <n v="12"/>
    <x v="0"/>
    <x v="1"/>
    <x v="1"/>
    <x v="1"/>
    <n v="1"/>
  </r>
  <r>
    <n v="201"/>
    <x v="1"/>
    <n v="27"/>
    <x v="4"/>
    <x v="1"/>
    <n v="700.4"/>
    <n v="13"/>
    <x v="4"/>
    <b v="1"/>
    <n v="53"/>
    <x v="2"/>
    <x v="0"/>
    <x v="0"/>
    <x v="2"/>
    <n v="0"/>
  </r>
  <r>
    <n v="202"/>
    <x v="0"/>
    <n v="37"/>
    <x v="5"/>
    <x v="2"/>
    <n v="420.8"/>
    <n v="7"/>
    <x v="5"/>
    <b v="0"/>
    <n v="21"/>
    <x v="1"/>
    <x v="1"/>
    <x v="3"/>
    <x v="0"/>
    <n v="0.5"/>
  </r>
  <r>
    <n v="203"/>
    <x v="0"/>
    <n v="31"/>
    <x v="0"/>
    <x v="0"/>
    <n v="1130.5999999999999"/>
    <n v="15"/>
    <x v="6"/>
    <b v="1"/>
    <n v="26"/>
    <x v="0"/>
    <x v="0"/>
    <x v="1"/>
    <x v="0"/>
    <n v="1"/>
  </r>
  <r>
    <n v="204"/>
    <x v="1"/>
    <n v="35"/>
    <x v="1"/>
    <x v="1"/>
    <n v="820.9"/>
    <n v="12"/>
    <x v="12"/>
    <b v="0"/>
    <n v="12"/>
    <x v="1"/>
    <x v="1"/>
    <x v="1"/>
    <x v="1"/>
    <n v="0.5"/>
  </r>
  <r>
    <n v="205"/>
    <x v="0"/>
    <n v="41"/>
    <x v="2"/>
    <x v="2"/>
    <n v="480.25"/>
    <n v="9"/>
    <x v="8"/>
    <b v="1"/>
    <n v="38"/>
    <x v="2"/>
    <x v="0"/>
    <x v="3"/>
    <x v="0"/>
    <n v="0"/>
  </r>
  <r>
    <n v="206"/>
    <x v="1"/>
    <n v="28"/>
    <x v="3"/>
    <x v="0"/>
    <n v="1490.1"/>
    <n v="21"/>
    <x v="15"/>
    <b v="0"/>
    <n v="9"/>
    <x v="0"/>
    <x v="1"/>
    <x v="0"/>
    <x v="1"/>
    <n v="1"/>
  </r>
  <r>
    <n v="207"/>
    <x v="1"/>
    <n v="32"/>
    <x v="4"/>
    <x v="1"/>
    <n v="680.3"/>
    <n v="10"/>
    <x v="10"/>
    <b v="1"/>
    <n v="32"/>
    <x v="2"/>
    <x v="0"/>
    <x v="1"/>
    <x v="0"/>
    <n v="0"/>
  </r>
  <r>
    <n v="208"/>
    <x v="0"/>
    <n v="36"/>
    <x v="5"/>
    <x v="2"/>
    <n v="470.5"/>
    <n v="8"/>
    <x v="17"/>
    <b v="0"/>
    <n v="18"/>
    <x v="1"/>
    <x v="1"/>
    <x v="3"/>
    <x v="1"/>
    <n v="0.5"/>
  </r>
  <r>
    <n v="209"/>
    <x v="0"/>
    <n v="30"/>
    <x v="0"/>
    <x v="0"/>
    <n v="1180.8"/>
    <n v="16"/>
    <x v="3"/>
    <b v="1"/>
    <n v="19"/>
    <x v="0"/>
    <x v="0"/>
    <x v="1"/>
    <x v="1"/>
    <n v="1"/>
  </r>
  <r>
    <n v="210"/>
    <x v="1"/>
    <n v="34"/>
    <x v="1"/>
    <x v="1"/>
    <n v="790.2"/>
    <n v="11"/>
    <x v="4"/>
    <b v="0"/>
    <n v="15"/>
    <x v="1"/>
    <x v="1"/>
    <x v="1"/>
    <x v="1"/>
    <n v="0.5"/>
  </r>
  <r>
    <n v="211"/>
    <x v="0"/>
    <n v="43"/>
    <x v="2"/>
    <x v="2"/>
    <n v="505.75"/>
    <n v="10"/>
    <x v="18"/>
    <b v="1"/>
    <n v="39"/>
    <x v="2"/>
    <x v="0"/>
    <x v="2"/>
    <x v="0"/>
    <n v="0"/>
  </r>
  <r>
    <n v="212"/>
    <x v="1"/>
    <n v="30"/>
    <x v="3"/>
    <x v="0"/>
    <n v="1470.5"/>
    <n v="20"/>
    <x v="9"/>
    <b v="0"/>
    <n v="13"/>
    <x v="0"/>
    <x v="1"/>
    <x v="1"/>
    <x v="1"/>
    <n v="1"/>
  </r>
  <r>
    <n v="213"/>
    <x v="1"/>
    <n v="27"/>
    <x v="4"/>
    <x v="1"/>
    <n v="710.4"/>
    <n v="13"/>
    <x v="1"/>
    <b v="1"/>
    <n v="54"/>
    <x v="2"/>
    <x v="0"/>
    <x v="0"/>
    <x v="2"/>
    <n v="0"/>
  </r>
  <r>
    <n v="214"/>
    <x v="0"/>
    <n v="37"/>
    <x v="5"/>
    <x v="2"/>
    <n v="430.8"/>
    <n v="7"/>
    <x v="2"/>
    <b v="0"/>
    <n v="23"/>
    <x v="1"/>
    <x v="1"/>
    <x v="3"/>
    <x v="0"/>
    <n v="0.5"/>
  </r>
  <r>
    <n v="215"/>
    <x v="0"/>
    <n v="31"/>
    <x v="0"/>
    <x v="0"/>
    <n v="1140.5999999999999"/>
    <n v="15"/>
    <x v="0"/>
    <b v="1"/>
    <n v="27"/>
    <x v="0"/>
    <x v="0"/>
    <x v="1"/>
    <x v="0"/>
    <n v="1"/>
  </r>
  <r>
    <n v="216"/>
    <x v="1"/>
    <n v="35"/>
    <x v="1"/>
    <x v="1"/>
    <n v="810.9"/>
    <n v="12"/>
    <x v="12"/>
    <b v="0"/>
    <n v="13"/>
    <x v="1"/>
    <x v="1"/>
    <x v="1"/>
    <x v="1"/>
    <n v="0.5"/>
  </r>
  <r>
    <n v="217"/>
    <x v="0"/>
    <n v="41"/>
    <x v="2"/>
    <x v="2"/>
    <n v="485.25"/>
    <n v="9"/>
    <x v="8"/>
    <b v="1"/>
    <n v="39"/>
    <x v="2"/>
    <x v="0"/>
    <x v="3"/>
    <x v="0"/>
    <n v="0"/>
  </r>
  <r>
    <n v="218"/>
    <x v="1"/>
    <n v="28"/>
    <x v="3"/>
    <x v="0"/>
    <n v="1500.1"/>
    <n v="21"/>
    <x v="15"/>
    <b v="0"/>
    <n v="10"/>
    <x v="0"/>
    <x v="1"/>
    <x v="0"/>
    <x v="1"/>
    <n v="1"/>
  </r>
  <r>
    <n v="219"/>
    <x v="1"/>
    <n v="32"/>
    <x v="4"/>
    <x v="1"/>
    <n v="670.3"/>
    <n v="10"/>
    <x v="10"/>
    <b v="1"/>
    <n v="33"/>
    <x v="2"/>
    <x v="0"/>
    <x v="1"/>
    <x v="0"/>
    <n v="0"/>
  </r>
  <r>
    <n v="220"/>
    <x v="0"/>
    <n v="36"/>
    <x v="5"/>
    <x v="2"/>
    <n v="460.5"/>
    <n v="8"/>
    <x v="5"/>
    <b v="0"/>
    <n v="19"/>
    <x v="1"/>
    <x v="1"/>
    <x v="3"/>
    <x v="1"/>
    <n v="0.5"/>
  </r>
  <r>
    <n v="221"/>
    <x v="0"/>
    <n v="30"/>
    <x v="0"/>
    <x v="0"/>
    <n v="1190.8"/>
    <n v="16"/>
    <x v="6"/>
    <b v="1"/>
    <n v="20"/>
    <x v="0"/>
    <x v="0"/>
    <x v="1"/>
    <x v="1"/>
    <n v="1"/>
  </r>
  <r>
    <n v="222"/>
    <x v="1"/>
    <n v="33"/>
    <x v="1"/>
    <x v="1"/>
    <n v="830.75"/>
    <n v="13"/>
    <x v="7"/>
    <b v="0"/>
    <n v="14"/>
    <x v="0"/>
    <x v="1"/>
    <x v="1"/>
    <x v="1"/>
    <n v="1"/>
  </r>
  <r>
    <n v="223"/>
    <x v="0"/>
    <n v="42"/>
    <x v="2"/>
    <x v="2"/>
    <n v="520.4"/>
    <n v="9"/>
    <x v="14"/>
    <b v="1"/>
    <n v="37"/>
    <x v="2"/>
    <x v="0"/>
    <x v="2"/>
    <x v="0"/>
    <n v="0"/>
  </r>
  <r>
    <n v="224"/>
    <x v="1"/>
    <n v="29"/>
    <x v="3"/>
    <x v="0"/>
    <n v="1370.2"/>
    <n v="18"/>
    <x v="3"/>
    <b v="0"/>
    <n v="10"/>
    <x v="0"/>
    <x v="1"/>
    <x v="0"/>
    <x v="1"/>
    <n v="1"/>
  </r>
  <r>
    <n v="225"/>
    <x v="1"/>
    <n v="26"/>
    <x v="4"/>
    <x v="1"/>
    <n v="690.6"/>
    <n v="12"/>
    <x v="19"/>
    <b v="1"/>
    <n v="47"/>
    <x v="2"/>
    <x v="0"/>
    <x v="0"/>
    <x v="2"/>
    <n v="0"/>
  </r>
  <r>
    <n v="226"/>
    <x v="0"/>
    <n v="38"/>
    <x v="5"/>
    <x v="2"/>
    <n v="440.9"/>
    <n v="8"/>
    <x v="11"/>
    <b v="0"/>
    <n v="24"/>
    <x v="1"/>
    <x v="1"/>
    <x v="3"/>
    <x v="0"/>
    <n v="0.5"/>
  </r>
  <r>
    <n v="227"/>
    <x v="0"/>
    <n v="32"/>
    <x v="0"/>
    <x v="0"/>
    <n v="1160.3"/>
    <n v="14"/>
    <x v="13"/>
    <b v="1"/>
    <n v="22"/>
    <x v="0"/>
    <x v="0"/>
    <x v="1"/>
    <x v="0"/>
    <n v="1"/>
  </r>
  <r>
    <n v="228"/>
    <x v="1"/>
    <n v="34"/>
    <x v="1"/>
    <x v="1"/>
    <n v="800.2"/>
    <n v="11"/>
    <x v="1"/>
    <b v="0"/>
    <n v="17"/>
    <x v="1"/>
    <x v="1"/>
    <x v="1"/>
    <x v="1"/>
    <n v="0.5"/>
  </r>
  <r>
    <n v="229"/>
    <x v="0"/>
    <n v="43"/>
    <x v="2"/>
    <x v="2"/>
    <n v="500.75"/>
    <n v="10"/>
    <x v="18"/>
    <b v="1"/>
    <n v="40"/>
    <x v="2"/>
    <x v="0"/>
    <x v="2"/>
    <x v="0"/>
    <n v="0"/>
  </r>
  <r>
    <n v="230"/>
    <x v="1"/>
    <n v="30"/>
    <x v="3"/>
    <x v="0"/>
    <n v="1460.5"/>
    <n v="20"/>
    <x v="9"/>
    <b v="0"/>
    <n v="12"/>
    <x v="0"/>
    <x v="1"/>
    <x v="1"/>
    <x v="1"/>
    <n v="1"/>
  </r>
  <r>
    <n v="231"/>
    <x v="1"/>
    <n v="27"/>
    <x v="4"/>
    <x v="1"/>
    <n v="700.4"/>
    <n v="13"/>
    <x v="4"/>
    <b v="1"/>
    <n v="53"/>
    <x v="2"/>
    <x v="0"/>
    <x v="0"/>
    <x v="2"/>
    <n v="0"/>
  </r>
  <r>
    <n v="232"/>
    <x v="0"/>
    <n v="37"/>
    <x v="5"/>
    <x v="2"/>
    <n v="420.8"/>
    <n v="7"/>
    <x v="5"/>
    <b v="0"/>
    <n v="21"/>
    <x v="1"/>
    <x v="1"/>
    <x v="3"/>
    <x v="0"/>
    <n v="0.5"/>
  </r>
  <r>
    <n v="233"/>
    <x v="0"/>
    <n v="31"/>
    <x v="0"/>
    <x v="0"/>
    <n v="1130.5999999999999"/>
    <n v="15"/>
    <x v="6"/>
    <b v="1"/>
    <n v="26"/>
    <x v="0"/>
    <x v="0"/>
    <x v="1"/>
    <x v="0"/>
    <n v="1"/>
  </r>
  <r>
    <n v="234"/>
    <x v="1"/>
    <n v="35"/>
    <x v="1"/>
    <x v="1"/>
    <n v="820.9"/>
    <n v="12"/>
    <x v="12"/>
    <b v="0"/>
    <n v="12"/>
    <x v="1"/>
    <x v="1"/>
    <x v="1"/>
    <x v="1"/>
    <n v="0.5"/>
  </r>
  <r>
    <n v="235"/>
    <x v="0"/>
    <n v="41"/>
    <x v="2"/>
    <x v="2"/>
    <n v="480.25"/>
    <n v="9"/>
    <x v="8"/>
    <b v="1"/>
    <n v="38"/>
    <x v="2"/>
    <x v="0"/>
    <x v="3"/>
    <x v="0"/>
    <n v="0"/>
  </r>
  <r>
    <n v="236"/>
    <x v="1"/>
    <n v="28"/>
    <x v="3"/>
    <x v="0"/>
    <n v="1490.1"/>
    <n v="21"/>
    <x v="15"/>
    <b v="0"/>
    <n v="9"/>
    <x v="0"/>
    <x v="1"/>
    <x v="0"/>
    <x v="1"/>
    <n v="1"/>
  </r>
  <r>
    <n v="237"/>
    <x v="1"/>
    <n v="32"/>
    <x v="4"/>
    <x v="1"/>
    <n v="680.3"/>
    <n v="10"/>
    <x v="10"/>
    <b v="1"/>
    <n v="32"/>
    <x v="2"/>
    <x v="0"/>
    <x v="1"/>
    <x v="0"/>
    <n v="0"/>
  </r>
  <r>
    <n v="238"/>
    <x v="0"/>
    <n v="36"/>
    <x v="5"/>
    <x v="2"/>
    <n v="470.5"/>
    <n v="8"/>
    <x v="17"/>
    <b v="0"/>
    <n v="18"/>
    <x v="1"/>
    <x v="1"/>
    <x v="3"/>
    <x v="1"/>
    <n v="0.5"/>
  </r>
  <r>
    <n v="239"/>
    <x v="0"/>
    <n v="30"/>
    <x v="0"/>
    <x v="0"/>
    <n v="1180.8"/>
    <n v="16"/>
    <x v="3"/>
    <b v="1"/>
    <n v="19"/>
    <x v="0"/>
    <x v="0"/>
    <x v="1"/>
    <x v="1"/>
    <n v="1"/>
  </r>
  <r>
    <n v="240"/>
    <x v="1"/>
    <n v="34"/>
    <x v="1"/>
    <x v="1"/>
    <n v="790.2"/>
    <n v="11"/>
    <x v="4"/>
    <b v="0"/>
    <n v="15"/>
    <x v="1"/>
    <x v="1"/>
    <x v="1"/>
    <x v="1"/>
    <n v="0.5"/>
  </r>
  <r>
    <n v="241"/>
    <x v="0"/>
    <n v="43"/>
    <x v="2"/>
    <x v="2"/>
    <n v="505.75"/>
    <n v="10"/>
    <x v="18"/>
    <b v="1"/>
    <n v="39"/>
    <x v="2"/>
    <x v="0"/>
    <x v="2"/>
    <x v="0"/>
    <n v="0"/>
  </r>
  <r>
    <n v="242"/>
    <x v="1"/>
    <n v="30"/>
    <x v="3"/>
    <x v="0"/>
    <n v="1470.5"/>
    <n v="20"/>
    <x v="9"/>
    <b v="0"/>
    <n v="13"/>
    <x v="0"/>
    <x v="1"/>
    <x v="1"/>
    <x v="1"/>
    <n v="1"/>
  </r>
  <r>
    <n v="243"/>
    <x v="1"/>
    <n v="27"/>
    <x v="4"/>
    <x v="1"/>
    <n v="710.4"/>
    <n v="13"/>
    <x v="1"/>
    <b v="1"/>
    <n v="54"/>
    <x v="2"/>
    <x v="0"/>
    <x v="0"/>
    <x v="2"/>
    <n v="0"/>
  </r>
  <r>
    <n v="244"/>
    <x v="0"/>
    <n v="37"/>
    <x v="5"/>
    <x v="2"/>
    <n v="430.8"/>
    <n v="7"/>
    <x v="2"/>
    <b v="0"/>
    <n v="23"/>
    <x v="3"/>
    <x v="1"/>
    <x v="3"/>
    <x v="0"/>
    <s v="0"/>
  </r>
  <r>
    <n v="245"/>
    <x v="0"/>
    <n v="31"/>
    <x v="0"/>
    <x v="0"/>
    <n v="1130.5999999999999"/>
    <n v="15"/>
    <x v="6"/>
    <b v="1"/>
    <n v="26"/>
    <x v="0"/>
    <x v="0"/>
    <x v="1"/>
    <x v="0"/>
    <n v="1"/>
  </r>
  <r>
    <n v="246"/>
    <x v="1"/>
    <n v="35"/>
    <x v="1"/>
    <x v="1"/>
    <n v="820.9"/>
    <n v="12"/>
    <x v="12"/>
    <b v="0"/>
    <n v="12"/>
    <x v="1"/>
    <x v="1"/>
    <x v="1"/>
    <x v="1"/>
    <n v="0.5"/>
  </r>
  <r>
    <n v="247"/>
    <x v="0"/>
    <n v="41"/>
    <x v="2"/>
    <x v="2"/>
    <n v="480.25"/>
    <n v="9"/>
    <x v="8"/>
    <b v="1"/>
    <n v="38"/>
    <x v="2"/>
    <x v="0"/>
    <x v="3"/>
    <x v="0"/>
    <n v="0"/>
  </r>
  <r>
    <n v="248"/>
    <x v="1"/>
    <n v="28"/>
    <x v="3"/>
    <x v="0"/>
    <n v="1490.1"/>
    <n v="21"/>
    <x v="15"/>
    <b v="0"/>
    <n v="9"/>
    <x v="0"/>
    <x v="1"/>
    <x v="0"/>
    <x v="1"/>
    <n v="1"/>
  </r>
  <r>
    <n v="249"/>
    <x v="1"/>
    <n v="32"/>
    <x v="4"/>
    <x v="1"/>
    <n v="680.3"/>
    <n v="10"/>
    <x v="10"/>
    <b v="1"/>
    <n v="32"/>
    <x v="2"/>
    <x v="0"/>
    <x v="1"/>
    <x v="0"/>
    <n v="0"/>
  </r>
  <r>
    <n v="250"/>
    <x v="0"/>
    <n v="36"/>
    <x v="5"/>
    <x v="2"/>
    <n v="470.5"/>
    <n v="8"/>
    <x v="17"/>
    <b v="0"/>
    <n v="18"/>
    <x v="1"/>
    <x v="1"/>
    <x v="3"/>
    <x v="1"/>
    <n v="0.5"/>
  </r>
  <r>
    <n v="251"/>
    <x v="0"/>
    <n v="30"/>
    <x v="0"/>
    <x v="0"/>
    <n v="1180.8"/>
    <n v="16"/>
    <x v="3"/>
    <b v="1"/>
    <n v="19"/>
    <x v="0"/>
    <x v="0"/>
    <x v="1"/>
    <x v="1"/>
    <n v="1"/>
  </r>
  <r>
    <n v="252"/>
    <x v="1"/>
    <n v="34"/>
    <x v="1"/>
    <x v="1"/>
    <n v="790.2"/>
    <n v="11"/>
    <x v="4"/>
    <b v="0"/>
    <n v="15"/>
    <x v="1"/>
    <x v="1"/>
    <x v="1"/>
    <x v="1"/>
    <n v="0.5"/>
  </r>
  <r>
    <n v="253"/>
    <x v="0"/>
    <n v="43"/>
    <x v="2"/>
    <x v="2"/>
    <n v="505.75"/>
    <n v="10"/>
    <x v="18"/>
    <b v="1"/>
    <n v="39"/>
    <x v="2"/>
    <x v="0"/>
    <x v="2"/>
    <x v="0"/>
    <n v="0"/>
  </r>
  <r>
    <n v="254"/>
    <x v="1"/>
    <n v="30"/>
    <x v="3"/>
    <x v="0"/>
    <n v="1470.5"/>
    <n v="20"/>
    <x v="9"/>
    <b v="0"/>
    <n v="13"/>
    <x v="0"/>
    <x v="1"/>
    <x v="1"/>
    <x v="1"/>
    <n v="1"/>
  </r>
  <r>
    <n v="255"/>
    <x v="1"/>
    <n v="27"/>
    <x v="4"/>
    <x v="1"/>
    <n v="710.4"/>
    <n v="13"/>
    <x v="1"/>
    <b v="1"/>
    <n v="54"/>
    <x v="2"/>
    <x v="0"/>
    <x v="0"/>
    <x v="2"/>
    <n v="0"/>
  </r>
  <r>
    <n v="256"/>
    <x v="0"/>
    <n v="37"/>
    <x v="5"/>
    <x v="2"/>
    <n v="430.8"/>
    <n v="7"/>
    <x v="2"/>
    <b v="0"/>
    <n v="23"/>
    <x v="1"/>
    <x v="1"/>
    <x v="3"/>
    <x v="0"/>
    <n v="0.5"/>
  </r>
  <r>
    <n v="257"/>
    <x v="0"/>
    <n v="31"/>
    <x v="0"/>
    <x v="0"/>
    <n v="1140.5999999999999"/>
    <n v="15"/>
    <x v="0"/>
    <b v="1"/>
    <n v="27"/>
    <x v="0"/>
    <x v="0"/>
    <x v="1"/>
    <x v="0"/>
    <n v="1"/>
  </r>
  <r>
    <n v="258"/>
    <x v="1"/>
    <n v="35"/>
    <x v="1"/>
    <x v="1"/>
    <n v="810.9"/>
    <n v="12"/>
    <x v="12"/>
    <b v="0"/>
    <n v="13"/>
    <x v="1"/>
    <x v="1"/>
    <x v="1"/>
    <x v="1"/>
    <n v="0.5"/>
  </r>
  <r>
    <n v="259"/>
    <x v="0"/>
    <n v="41"/>
    <x v="2"/>
    <x v="2"/>
    <n v="485.25"/>
    <n v="9"/>
    <x v="8"/>
    <b v="1"/>
    <n v="39"/>
    <x v="2"/>
    <x v="0"/>
    <x v="3"/>
    <x v="0"/>
    <n v="0"/>
  </r>
  <r>
    <n v="260"/>
    <x v="1"/>
    <n v="28"/>
    <x v="3"/>
    <x v="0"/>
    <n v="1500.1"/>
    <n v="21"/>
    <x v="15"/>
    <b v="0"/>
    <n v="10"/>
    <x v="0"/>
    <x v="1"/>
    <x v="0"/>
    <x v="1"/>
    <n v="1"/>
  </r>
  <r>
    <n v="261"/>
    <x v="1"/>
    <n v="32"/>
    <x v="4"/>
    <x v="1"/>
    <n v="670.3"/>
    <n v="10"/>
    <x v="10"/>
    <b v="1"/>
    <n v="33"/>
    <x v="2"/>
    <x v="0"/>
    <x v="1"/>
    <x v="0"/>
    <n v="0"/>
  </r>
  <r>
    <n v="262"/>
    <x v="0"/>
    <n v="36"/>
    <x v="5"/>
    <x v="2"/>
    <n v="460.5"/>
    <n v="8"/>
    <x v="5"/>
    <b v="0"/>
    <n v="19"/>
    <x v="1"/>
    <x v="1"/>
    <x v="3"/>
    <x v="1"/>
    <n v="0.5"/>
  </r>
  <r>
    <n v="263"/>
    <x v="0"/>
    <n v="30"/>
    <x v="0"/>
    <x v="0"/>
    <n v="1190.8"/>
    <n v="16"/>
    <x v="6"/>
    <b v="1"/>
    <n v="20"/>
    <x v="0"/>
    <x v="0"/>
    <x v="1"/>
    <x v="1"/>
    <n v="1"/>
  </r>
  <r>
    <n v="264"/>
    <x v="1"/>
    <n v="33"/>
    <x v="1"/>
    <x v="1"/>
    <n v="830.75"/>
    <n v="13"/>
    <x v="7"/>
    <b v="0"/>
    <n v="14"/>
    <x v="0"/>
    <x v="1"/>
    <x v="1"/>
    <x v="1"/>
    <n v="1"/>
  </r>
  <r>
    <n v="265"/>
    <x v="0"/>
    <n v="42"/>
    <x v="2"/>
    <x v="2"/>
    <n v="520.4"/>
    <n v="9"/>
    <x v="14"/>
    <b v="1"/>
    <n v="37"/>
    <x v="2"/>
    <x v="0"/>
    <x v="2"/>
    <x v="0"/>
    <n v="0"/>
  </r>
  <r>
    <n v="266"/>
    <x v="1"/>
    <n v="29"/>
    <x v="3"/>
    <x v="0"/>
    <n v="1370.2"/>
    <n v="18"/>
    <x v="3"/>
    <b v="0"/>
    <n v="10"/>
    <x v="0"/>
    <x v="1"/>
    <x v="0"/>
    <x v="1"/>
    <n v="1"/>
  </r>
  <r>
    <n v="267"/>
    <x v="1"/>
    <n v="26"/>
    <x v="4"/>
    <x v="1"/>
    <n v="690.6"/>
    <n v="12"/>
    <x v="19"/>
    <b v="1"/>
    <n v="47"/>
    <x v="2"/>
    <x v="0"/>
    <x v="0"/>
    <x v="2"/>
    <n v="0"/>
  </r>
  <r>
    <n v="268"/>
    <x v="0"/>
    <n v="38"/>
    <x v="5"/>
    <x v="2"/>
    <n v="440.9"/>
    <n v="8"/>
    <x v="11"/>
    <b v="0"/>
    <n v="24"/>
    <x v="1"/>
    <x v="1"/>
    <x v="3"/>
    <x v="0"/>
    <n v="0.5"/>
  </r>
  <r>
    <n v="269"/>
    <x v="0"/>
    <n v="32"/>
    <x v="0"/>
    <x v="0"/>
    <n v="1160.3"/>
    <n v="14"/>
    <x v="13"/>
    <b v="1"/>
    <n v="22"/>
    <x v="0"/>
    <x v="0"/>
    <x v="1"/>
    <x v="0"/>
    <n v="1"/>
  </r>
  <r>
    <n v="270"/>
    <x v="1"/>
    <n v="34"/>
    <x v="1"/>
    <x v="1"/>
    <n v="800.2"/>
    <n v="11"/>
    <x v="1"/>
    <b v="0"/>
    <n v="17"/>
    <x v="1"/>
    <x v="1"/>
    <x v="1"/>
    <x v="1"/>
    <n v="0.5"/>
  </r>
  <r>
    <n v="271"/>
    <x v="0"/>
    <n v="43"/>
    <x v="2"/>
    <x v="2"/>
    <n v="500.75"/>
    <n v="10"/>
    <x v="18"/>
    <b v="1"/>
    <n v="40"/>
    <x v="2"/>
    <x v="0"/>
    <x v="2"/>
    <x v="0"/>
    <n v="0"/>
  </r>
  <r>
    <n v="272"/>
    <x v="1"/>
    <n v="30"/>
    <x v="3"/>
    <x v="0"/>
    <n v="1460.5"/>
    <n v="20"/>
    <x v="9"/>
    <b v="0"/>
    <n v="12"/>
    <x v="0"/>
    <x v="1"/>
    <x v="1"/>
    <x v="1"/>
    <n v="1"/>
  </r>
  <r>
    <n v="273"/>
    <x v="1"/>
    <n v="27"/>
    <x v="4"/>
    <x v="1"/>
    <n v="700.4"/>
    <n v="13"/>
    <x v="4"/>
    <b v="1"/>
    <n v="53"/>
    <x v="2"/>
    <x v="0"/>
    <x v="0"/>
    <x v="2"/>
    <n v="0"/>
  </r>
  <r>
    <n v="274"/>
    <x v="0"/>
    <n v="37"/>
    <x v="5"/>
    <x v="2"/>
    <n v="430.8"/>
    <n v="7"/>
    <x v="2"/>
    <b v="0"/>
    <n v="23"/>
    <x v="1"/>
    <x v="1"/>
    <x v="3"/>
    <x v="0"/>
    <n v="0.5"/>
  </r>
  <r>
    <n v="275"/>
    <x v="0"/>
    <n v="31"/>
    <x v="0"/>
    <x v="0"/>
    <n v="1140.5999999999999"/>
    <n v="15"/>
    <x v="6"/>
    <b v="1"/>
    <n v="27"/>
    <x v="0"/>
    <x v="0"/>
    <x v="1"/>
    <x v="0"/>
    <n v="1"/>
  </r>
  <r>
    <n v="276"/>
    <x v="1"/>
    <n v="35"/>
    <x v="1"/>
    <x v="1"/>
    <n v="820.9"/>
    <n v="12"/>
    <x v="12"/>
    <b v="0"/>
    <n v="12"/>
    <x v="1"/>
    <x v="1"/>
    <x v="1"/>
    <x v="1"/>
    <n v="0.5"/>
  </r>
  <r>
    <n v="277"/>
    <x v="0"/>
    <n v="41"/>
    <x v="2"/>
    <x v="2"/>
    <n v="480.25"/>
    <n v="9"/>
    <x v="8"/>
    <b v="1"/>
    <n v="38"/>
    <x v="2"/>
    <x v="0"/>
    <x v="3"/>
    <x v="0"/>
    <n v="0"/>
  </r>
  <r>
    <n v="278"/>
    <x v="1"/>
    <n v="28"/>
    <x v="3"/>
    <x v="0"/>
    <n v="1490.1"/>
    <n v="21"/>
    <x v="15"/>
    <b v="0"/>
    <n v="9"/>
    <x v="0"/>
    <x v="1"/>
    <x v="0"/>
    <x v="1"/>
    <n v="1"/>
  </r>
  <r>
    <n v="279"/>
    <x v="1"/>
    <n v="32"/>
    <x v="4"/>
    <x v="1"/>
    <n v="680.3"/>
    <n v="10"/>
    <x v="10"/>
    <b v="1"/>
    <n v="32"/>
    <x v="2"/>
    <x v="0"/>
    <x v="1"/>
    <x v="0"/>
    <n v="0"/>
  </r>
  <r>
    <n v="280"/>
    <x v="0"/>
    <n v="36"/>
    <x v="5"/>
    <x v="2"/>
    <n v="470.5"/>
    <n v="8"/>
    <x v="17"/>
    <b v="0"/>
    <n v="18"/>
    <x v="1"/>
    <x v="1"/>
    <x v="3"/>
    <x v="1"/>
    <n v="0.5"/>
  </r>
  <r>
    <n v="281"/>
    <x v="0"/>
    <n v="30"/>
    <x v="0"/>
    <x v="0"/>
    <n v="1180.8"/>
    <n v="16"/>
    <x v="3"/>
    <b v="1"/>
    <n v="19"/>
    <x v="0"/>
    <x v="0"/>
    <x v="1"/>
    <x v="1"/>
    <n v="1"/>
  </r>
  <r>
    <n v="282"/>
    <x v="1"/>
    <n v="34"/>
    <x v="1"/>
    <x v="1"/>
    <n v="790.2"/>
    <n v="11"/>
    <x v="4"/>
    <b v="0"/>
    <n v="15"/>
    <x v="1"/>
    <x v="1"/>
    <x v="1"/>
    <x v="1"/>
    <n v="0.5"/>
  </r>
  <r>
    <n v="283"/>
    <x v="0"/>
    <n v="43"/>
    <x v="2"/>
    <x v="2"/>
    <n v="505.75"/>
    <n v="10"/>
    <x v="18"/>
    <b v="1"/>
    <n v="39"/>
    <x v="2"/>
    <x v="0"/>
    <x v="2"/>
    <x v="0"/>
    <n v="0"/>
  </r>
  <r>
    <n v="284"/>
    <x v="1"/>
    <n v="30"/>
    <x v="3"/>
    <x v="0"/>
    <n v="1470.5"/>
    <n v="20"/>
    <x v="9"/>
    <b v="0"/>
    <n v="13"/>
    <x v="0"/>
    <x v="1"/>
    <x v="1"/>
    <x v="1"/>
    <n v="1"/>
  </r>
  <r>
    <n v="285"/>
    <x v="1"/>
    <n v="27"/>
    <x v="4"/>
    <x v="1"/>
    <n v="710.4"/>
    <n v="13"/>
    <x v="1"/>
    <b v="1"/>
    <n v="54"/>
    <x v="2"/>
    <x v="0"/>
    <x v="0"/>
    <x v="2"/>
    <n v="0"/>
  </r>
  <r>
    <n v="286"/>
    <x v="0"/>
    <n v="37"/>
    <x v="5"/>
    <x v="2"/>
    <n v="430.8"/>
    <n v="7"/>
    <x v="2"/>
    <b v="0"/>
    <n v="23"/>
    <x v="1"/>
    <x v="1"/>
    <x v="3"/>
    <x v="0"/>
    <n v="0.5"/>
  </r>
  <r>
    <n v="287"/>
    <x v="0"/>
    <n v="31"/>
    <x v="0"/>
    <x v="0"/>
    <n v="1130.5999999999999"/>
    <n v="15"/>
    <x v="6"/>
    <b v="1"/>
    <n v="26"/>
    <x v="0"/>
    <x v="0"/>
    <x v="1"/>
    <x v="0"/>
    <n v="1"/>
  </r>
  <r>
    <n v="288"/>
    <x v="1"/>
    <n v="35"/>
    <x v="1"/>
    <x v="1"/>
    <n v="820.9"/>
    <n v="12"/>
    <x v="12"/>
    <b v="0"/>
    <n v="13"/>
    <x v="1"/>
    <x v="1"/>
    <x v="1"/>
    <x v="1"/>
    <n v="0.5"/>
  </r>
  <r>
    <n v="289"/>
    <x v="0"/>
    <n v="41"/>
    <x v="2"/>
    <x v="2"/>
    <n v="485.25"/>
    <n v="9"/>
    <x v="8"/>
    <b v="1"/>
    <n v="39"/>
    <x v="2"/>
    <x v="0"/>
    <x v="3"/>
    <x v="0"/>
    <n v="0"/>
  </r>
  <r>
    <n v="290"/>
    <x v="1"/>
    <n v="28"/>
    <x v="3"/>
    <x v="0"/>
    <n v="1500.1"/>
    <n v="21"/>
    <x v="15"/>
    <b v="0"/>
    <n v="10"/>
    <x v="0"/>
    <x v="1"/>
    <x v="0"/>
    <x v="1"/>
    <n v="1"/>
  </r>
  <r>
    <n v="291"/>
    <x v="1"/>
    <n v="32"/>
    <x v="4"/>
    <x v="1"/>
    <n v="670.3"/>
    <n v="10"/>
    <x v="10"/>
    <b v="1"/>
    <n v="33"/>
    <x v="2"/>
    <x v="0"/>
    <x v="1"/>
    <x v="0"/>
    <n v="0"/>
  </r>
  <r>
    <n v="292"/>
    <x v="0"/>
    <n v="36"/>
    <x v="5"/>
    <x v="2"/>
    <n v="460.5"/>
    <n v="8"/>
    <x v="5"/>
    <b v="0"/>
    <n v="19"/>
    <x v="1"/>
    <x v="1"/>
    <x v="3"/>
    <x v="1"/>
    <n v="0.5"/>
  </r>
  <r>
    <n v="293"/>
    <x v="0"/>
    <n v="30"/>
    <x v="0"/>
    <x v="0"/>
    <n v="1190.8"/>
    <n v="16"/>
    <x v="6"/>
    <b v="1"/>
    <n v="20"/>
    <x v="0"/>
    <x v="0"/>
    <x v="1"/>
    <x v="1"/>
    <n v="1"/>
  </r>
  <r>
    <n v="294"/>
    <x v="1"/>
    <n v="33"/>
    <x v="1"/>
    <x v="1"/>
    <n v="830.75"/>
    <n v="13"/>
    <x v="7"/>
    <b v="0"/>
    <n v="14"/>
    <x v="0"/>
    <x v="1"/>
    <x v="1"/>
    <x v="1"/>
    <n v="1"/>
  </r>
  <r>
    <n v="295"/>
    <x v="0"/>
    <n v="42"/>
    <x v="2"/>
    <x v="2"/>
    <n v="520.4"/>
    <n v="9"/>
    <x v="14"/>
    <b v="1"/>
    <n v="37"/>
    <x v="2"/>
    <x v="0"/>
    <x v="2"/>
    <x v="0"/>
    <n v="0"/>
  </r>
  <r>
    <n v="296"/>
    <x v="1"/>
    <n v="29"/>
    <x v="3"/>
    <x v="0"/>
    <n v="1370.2"/>
    <n v="18"/>
    <x v="3"/>
    <b v="0"/>
    <n v="10"/>
    <x v="0"/>
    <x v="1"/>
    <x v="0"/>
    <x v="1"/>
    <n v="1"/>
  </r>
  <r>
    <n v="297"/>
    <x v="1"/>
    <n v="26"/>
    <x v="4"/>
    <x v="1"/>
    <n v="690.6"/>
    <n v="12"/>
    <x v="19"/>
    <b v="1"/>
    <n v="47"/>
    <x v="2"/>
    <x v="0"/>
    <x v="0"/>
    <x v="2"/>
    <n v="0"/>
  </r>
  <r>
    <n v="298"/>
    <x v="0"/>
    <n v="38"/>
    <x v="5"/>
    <x v="2"/>
    <n v="440.9"/>
    <n v="8"/>
    <x v="11"/>
    <b v="0"/>
    <n v="24"/>
    <x v="1"/>
    <x v="1"/>
    <x v="3"/>
    <x v="0"/>
    <n v="0.5"/>
  </r>
  <r>
    <n v="299"/>
    <x v="0"/>
    <n v="32"/>
    <x v="0"/>
    <x v="0"/>
    <n v="1160.3"/>
    <n v="14"/>
    <x v="13"/>
    <b v="1"/>
    <n v="22"/>
    <x v="0"/>
    <x v="0"/>
    <x v="1"/>
    <x v="0"/>
    <n v="1"/>
  </r>
  <r>
    <n v="300"/>
    <x v="1"/>
    <n v="34"/>
    <x v="1"/>
    <x v="1"/>
    <n v="800.2"/>
    <n v="11"/>
    <x v="1"/>
    <b v="0"/>
    <n v="17"/>
    <x v="1"/>
    <x v="1"/>
    <x v="1"/>
    <x v="1"/>
    <n v="0.5"/>
  </r>
  <r>
    <n v="301"/>
    <x v="1"/>
    <n v="36"/>
    <x v="3"/>
    <x v="0"/>
    <n v="1420.8"/>
    <n v="19"/>
    <x v="0"/>
    <b v="0"/>
    <n v="11"/>
    <x v="0"/>
    <x v="1"/>
    <x v="3"/>
    <x v="1"/>
    <n v="1"/>
  </r>
  <r>
    <n v="302"/>
    <x v="0"/>
    <n v="29"/>
    <x v="4"/>
    <x v="1"/>
    <n v="730.4"/>
    <n v="14"/>
    <x v="4"/>
    <b v="1"/>
    <n v="50"/>
    <x v="2"/>
    <x v="0"/>
    <x v="0"/>
    <x v="2"/>
    <n v="0"/>
  </r>
  <r>
    <n v="303"/>
    <x v="0"/>
    <n v="35"/>
    <x v="5"/>
    <x v="2"/>
    <n v="450.6"/>
    <n v="7"/>
    <x v="18"/>
    <b v="0"/>
    <n v="21"/>
    <x v="1"/>
    <x v="1"/>
    <x v="1"/>
    <x v="0"/>
    <n v="0.5"/>
  </r>
  <r>
    <n v="304"/>
    <x v="1"/>
    <n v="31"/>
    <x v="0"/>
    <x v="0"/>
    <n v="1210.5999999999999"/>
    <n v="17"/>
    <x v="9"/>
    <b v="1"/>
    <n v="18"/>
    <x v="0"/>
    <x v="0"/>
    <x v="1"/>
    <x v="1"/>
    <n v="1"/>
  </r>
  <r>
    <n v="305"/>
    <x v="1"/>
    <n v="27"/>
    <x v="1"/>
    <x v="1"/>
    <n v="780.9"/>
    <n v="11"/>
    <x v="7"/>
    <b v="0"/>
    <n v="16"/>
    <x v="1"/>
    <x v="1"/>
    <x v="0"/>
    <x v="1"/>
    <n v="0.5"/>
  </r>
  <r>
    <n v="306"/>
    <x v="0"/>
    <n v="42"/>
    <x v="2"/>
    <x v="2"/>
    <n v="495.25"/>
    <n v="10"/>
    <x v="14"/>
    <b v="1"/>
    <n v="35"/>
    <x v="2"/>
    <x v="0"/>
    <x v="2"/>
    <x v="0"/>
    <n v="0"/>
  </r>
  <r>
    <n v="307"/>
    <x v="1"/>
    <n v="29"/>
    <x v="3"/>
    <x v="0"/>
    <n v="1390.2"/>
    <n v="18"/>
    <x v="3"/>
    <b v="0"/>
    <n v="9"/>
    <x v="0"/>
    <x v="1"/>
    <x v="0"/>
    <x v="1"/>
    <n v="1"/>
  </r>
  <r>
    <n v="308"/>
    <x v="1"/>
    <n v="26"/>
    <x v="4"/>
    <x v="1"/>
    <n v="670.6"/>
    <n v="12"/>
    <x v="19"/>
    <b v="1"/>
    <n v="46"/>
    <x v="2"/>
    <x v="0"/>
    <x v="0"/>
    <x v="2"/>
    <n v="0"/>
  </r>
  <r>
    <n v="309"/>
    <x v="0"/>
    <n v="38"/>
    <x v="5"/>
    <x v="2"/>
    <n v="460.9"/>
    <n v="8"/>
    <x v="11"/>
    <b v="0"/>
    <n v="25"/>
    <x v="1"/>
    <x v="1"/>
    <x v="3"/>
    <x v="0"/>
    <n v="0.5"/>
  </r>
  <r>
    <n v="310"/>
    <x v="0"/>
    <n v="32"/>
    <x v="0"/>
    <x v="0"/>
    <n v="1170.3"/>
    <n v="14"/>
    <x v="6"/>
    <b v="1"/>
    <n v="21"/>
    <x v="0"/>
    <x v="0"/>
    <x v="1"/>
    <x v="0"/>
    <n v="1"/>
  </r>
  <r>
    <n v="311"/>
    <x v="1"/>
    <n v="34"/>
    <x v="1"/>
    <x v="1"/>
    <n v="810.2"/>
    <n v="11"/>
    <x v="4"/>
    <b v="0"/>
    <n v="14"/>
    <x v="1"/>
    <x v="1"/>
    <x v="1"/>
    <x v="1"/>
    <n v="0.5"/>
  </r>
  <r>
    <n v="312"/>
    <x v="0"/>
    <n v="43"/>
    <x v="2"/>
    <x v="2"/>
    <n v="515.75"/>
    <n v="9"/>
    <x v="18"/>
    <b v="1"/>
    <n v="38"/>
    <x v="2"/>
    <x v="0"/>
    <x v="2"/>
    <x v="0"/>
    <n v="0"/>
  </r>
  <r>
    <n v="313"/>
    <x v="1"/>
    <n v="30"/>
    <x v="3"/>
    <x v="0"/>
    <n v="1450.5"/>
    <n v="20"/>
    <x v="9"/>
    <b v="0"/>
    <n v="12"/>
    <x v="0"/>
    <x v="1"/>
    <x v="1"/>
    <x v="1"/>
    <n v="1"/>
  </r>
  <r>
    <n v="314"/>
    <x v="1"/>
    <n v="27"/>
    <x v="4"/>
    <x v="1"/>
    <n v="690.4"/>
    <n v="13"/>
    <x v="1"/>
    <b v="1"/>
    <n v="52"/>
    <x v="2"/>
    <x v="0"/>
    <x v="0"/>
    <x v="2"/>
    <n v="0"/>
  </r>
  <r>
    <n v="315"/>
    <x v="0"/>
    <n v="37"/>
    <x v="5"/>
    <x v="2"/>
    <n v="420.8"/>
    <n v="7"/>
    <x v="2"/>
    <b v="0"/>
    <n v="24"/>
    <x v="1"/>
    <x v="1"/>
    <x v="3"/>
    <x v="0"/>
    <n v="0.5"/>
  </r>
  <r>
    <n v="316"/>
    <x v="0"/>
    <n v="31"/>
    <x v="0"/>
    <x v="0"/>
    <n v="1130.5999999999999"/>
    <n v="15"/>
    <x v="6"/>
    <b v="1"/>
    <n v="26"/>
    <x v="0"/>
    <x v="0"/>
    <x v="1"/>
    <x v="0"/>
    <n v="1"/>
  </r>
  <r>
    <n v="317"/>
    <x v="1"/>
    <n v="35"/>
    <x v="1"/>
    <x v="1"/>
    <n v="820.9"/>
    <n v="12"/>
    <x v="12"/>
    <b v="0"/>
    <n v="13"/>
    <x v="1"/>
    <x v="1"/>
    <x v="1"/>
    <x v="1"/>
    <n v="0.5"/>
  </r>
  <r>
    <n v="318"/>
    <x v="0"/>
    <n v="41"/>
    <x v="2"/>
    <x v="2"/>
    <n v="480.25"/>
    <n v="9"/>
    <x v="8"/>
    <b v="1"/>
    <n v="39"/>
    <x v="2"/>
    <x v="0"/>
    <x v="3"/>
    <x v="0"/>
    <n v="0"/>
  </r>
  <r>
    <n v="319"/>
    <x v="1"/>
    <n v="28"/>
    <x v="3"/>
    <x v="0"/>
    <n v="1490.1"/>
    <n v="21"/>
    <x v="15"/>
    <b v="0"/>
    <n v="9"/>
    <x v="0"/>
    <x v="1"/>
    <x v="0"/>
    <x v="1"/>
    <n v="1"/>
  </r>
  <r>
    <n v="320"/>
    <x v="1"/>
    <n v="32"/>
    <x v="4"/>
    <x v="1"/>
    <n v="680.3"/>
    <n v="10"/>
    <x v="10"/>
    <b v="1"/>
    <n v="32"/>
    <x v="2"/>
    <x v="0"/>
    <x v="1"/>
    <x v="0"/>
    <n v="0"/>
  </r>
  <r>
    <n v="321"/>
    <x v="0"/>
    <n v="36"/>
    <x v="5"/>
    <x v="2"/>
    <n v="470.5"/>
    <n v="8"/>
    <x v="17"/>
    <b v="0"/>
    <n v="18"/>
    <x v="1"/>
    <x v="1"/>
    <x v="3"/>
    <x v="1"/>
    <n v="0.5"/>
  </r>
  <r>
    <n v="322"/>
    <x v="0"/>
    <n v="30"/>
    <x v="0"/>
    <x v="0"/>
    <n v="1180.8"/>
    <n v="16"/>
    <x v="3"/>
    <b v="1"/>
    <n v="19"/>
    <x v="0"/>
    <x v="0"/>
    <x v="1"/>
    <x v="1"/>
    <n v="1"/>
  </r>
  <r>
    <n v="323"/>
    <x v="1"/>
    <n v="34"/>
    <x v="1"/>
    <x v="1"/>
    <n v="790.2"/>
    <n v="11"/>
    <x v="4"/>
    <b v="0"/>
    <n v="15"/>
    <x v="1"/>
    <x v="1"/>
    <x v="1"/>
    <x v="1"/>
    <n v="0.5"/>
  </r>
  <r>
    <n v="324"/>
    <x v="0"/>
    <n v="43"/>
    <x v="2"/>
    <x v="2"/>
    <n v="505.75"/>
    <n v="10"/>
    <x v="18"/>
    <b v="1"/>
    <n v="39"/>
    <x v="2"/>
    <x v="0"/>
    <x v="2"/>
    <x v="0"/>
    <n v="0"/>
  </r>
  <r>
    <n v="325"/>
    <x v="1"/>
    <n v="30"/>
    <x v="3"/>
    <x v="0"/>
    <n v="1470.5"/>
    <n v="20"/>
    <x v="9"/>
    <b v="0"/>
    <n v="13"/>
    <x v="0"/>
    <x v="1"/>
    <x v="1"/>
    <x v="1"/>
    <n v="1"/>
  </r>
  <r>
    <n v="326"/>
    <x v="1"/>
    <n v="27"/>
    <x v="4"/>
    <x v="1"/>
    <n v="710.4"/>
    <n v="13"/>
    <x v="1"/>
    <b v="1"/>
    <n v="54"/>
    <x v="2"/>
    <x v="0"/>
    <x v="0"/>
    <x v="2"/>
    <n v="0"/>
  </r>
  <r>
    <n v="327"/>
    <x v="0"/>
    <n v="37"/>
    <x v="5"/>
    <x v="2"/>
    <n v="430.8"/>
    <n v="7"/>
    <x v="2"/>
    <b v="0"/>
    <n v="23"/>
    <x v="1"/>
    <x v="1"/>
    <x v="3"/>
    <x v="0"/>
    <n v="0.5"/>
  </r>
  <r>
    <n v="328"/>
    <x v="0"/>
    <n v="31"/>
    <x v="0"/>
    <x v="0"/>
    <n v="1140.5999999999999"/>
    <n v="15"/>
    <x v="6"/>
    <b v="1"/>
    <n v="27"/>
    <x v="0"/>
    <x v="0"/>
    <x v="1"/>
    <x v="0"/>
    <n v="1"/>
  </r>
  <r>
    <n v="329"/>
    <x v="1"/>
    <n v="35"/>
    <x v="1"/>
    <x v="1"/>
    <n v="820.9"/>
    <n v="12"/>
    <x v="12"/>
    <b v="0"/>
    <n v="13"/>
    <x v="1"/>
    <x v="1"/>
    <x v="1"/>
    <x v="1"/>
    <n v="0.5"/>
  </r>
  <r>
    <n v="330"/>
    <x v="0"/>
    <n v="41"/>
    <x v="2"/>
    <x v="2"/>
    <n v="485.25"/>
    <n v="9"/>
    <x v="8"/>
    <b v="1"/>
    <n v="39"/>
    <x v="2"/>
    <x v="0"/>
    <x v="3"/>
    <x v="0"/>
    <n v="0"/>
  </r>
  <r>
    <n v="331"/>
    <x v="1"/>
    <n v="28"/>
    <x v="3"/>
    <x v="0"/>
    <n v="1500.1"/>
    <n v="21"/>
    <x v="15"/>
    <b v="0"/>
    <n v="10"/>
    <x v="0"/>
    <x v="1"/>
    <x v="0"/>
    <x v="1"/>
    <n v="1"/>
  </r>
  <r>
    <n v="332"/>
    <x v="1"/>
    <n v="32"/>
    <x v="4"/>
    <x v="1"/>
    <n v="670.3"/>
    <n v="10"/>
    <x v="10"/>
    <b v="1"/>
    <n v="33"/>
    <x v="2"/>
    <x v="0"/>
    <x v="1"/>
    <x v="0"/>
    <n v="0"/>
  </r>
  <r>
    <n v="333"/>
    <x v="0"/>
    <n v="36"/>
    <x v="5"/>
    <x v="2"/>
    <n v="460.5"/>
    <n v="8"/>
    <x v="5"/>
    <b v="0"/>
    <n v="19"/>
    <x v="1"/>
    <x v="1"/>
    <x v="3"/>
    <x v="1"/>
    <n v="0.5"/>
  </r>
  <r>
    <n v="334"/>
    <x v="0"/>
    <n v="30"/>
    <x v="0"/>
    <x v="0"/>
    <n v="1190.8"/>
    <n v="16"/>
    <x v="6"/>
    <b v="1"/>
    <n v="20"/>
    <x v="0"/>
    <x v="0"/>
    <x v="1"/>
    <x v="1"/>
    <n v="1"/>
  </r>
  <r>
    <n v="335"/>
    <x v="1"/>
    <n v="33"/>
    <x v="1"/>
    <x v="1"/>
    <n v="830.75"/>
    <n v="13"/>
    <x v="7"/>
    <b v="0"/>
    <n v="14"/>
    <x v="0"/>
    <x v="1"/>
    <x v="1"/>
    <x v="1"/>
    <n v="1"/>
  </r>
  <r>
    <n v="336"/>
    <x v="0"/>
    <n v="42"/>
    <x v="2"/>
    <x v="2"/>
    <n v="520.4"/>
    <n v="9"/>
    <x v="14"/>
    <b v="1"/>
    <n v="37"/>
    <x v="2"/>
    <x v="0"/>
    <x v="2"/>
    <x v="0"/>
    <n v="0"/>
  </r>
  <r>
    <n v="337"/>
    <x v="1"/>
    <n v="29"/>
    <x v="3"/>
    <x v="0"/>
    <n v="1370.2"/>
    <n v="18"/>
    <x v="3"/>
    <b v="0"/>
    <n v="10"/>
    <x v="0"/>
    <x v="1"/>
    <x v="0"/>
    <x v="1"/>
    <n v="1"/>
  </r>
  <r>
    <n v="338"/>
    <x v="1"/>
    <n v="26"/>
    <x v="4"/>
    <x v="1"/>
    <n v="690.6"/>
    <n v="12"/>
    <x v="19"/>
    <b v="1"/>
    <n v="47"/>
    <x v="2"/>
    <x v="0"/>
    <x v="0"/>
    <x v="2"/>
    <n v="0"/>
  </r>
  <r>
    <n v="339"/>
    <x v="0"/>
    <n v="38"/>
    <x v="5"/>
    <x v="2"/>
    <n v="440.9"/>
    <n v="8"/>
    <x v="11"/>
    <b v="0"/>
    <n v="24"/>
    <x v="1"/>
    <x v="1"/>
    <x v="3"/>
    <x v="0"/>
    <n v="0.5"/>
  </r>
  <r>
    <n v="340"/>
    <x v="0"/>
    <n v="32"/>
    <x v="0"/>
    <x v="0"/>
    <n v="1160.3"/>
    <n v="14"/>
    <x v="13"/>
    <b v="1"/>
    <n v="22"/>
    <x v="0"/>
    <x v="0"/>
    <x v="1"/>
    <x v="0"/>
    <n v="1"/>
  </r>
  <r>
    <n v="341"/>
    <x v="1"/>
    <n v="34"/>
    <x v="1"/>
    <x v="1"/>
    <n v="800.2"/>
    <n v="11"/>
    <x v="1"/>
    <b v="0"/>
    <n v="17"/>
    <x v="1"/>
    <x v="1"/>
    <x v="1"/>
    <x v="1"/>
    <n v="0.5"/>
  </r>
  <r>
    <n v="342"/>
    <x v="0"/>
    <n v="43"/>
    <x v="2"/>
    <x v="2"/>
    <n v="525.75"/>
    <n v="9"/>
    <x v="18"/>
    <b v="1"/>
    <n v="40"/>
    <x v="2"/>
    <x v="0"/>
    <x v="2"/>
    <x v="0"/>
    <n v="0"/>
  </r>
  <r>
    <n v="343"/>
    <x v="1"/>
    <n v="30"/>
    <x v="3"/>
    <x v="0"/>
    <n v="1460.5"/>
    <n v="20"/>
    <x v="9"/>
    <b v="0"/>
    <n v="11"/>
    <x v="0"/>
    <x v="1"/>
    <x v="1"/>
    <x v="1"/>
    <n v="1"/>
  </r>
  <r>
    <n v="344"/>
    <x v="1"/>
    <n v="27"/>
    <x v="4"/>
    <x v="1"/>
    <n v="720.4"/>
    <n v="13"/>
    <x v="4"/>
    <b v="1"/>
    <n v="55"/>
    <x v="2"/>
    <x v="0"/>
    <x v="0"/>
    <x v="2"/>
    <n v="0"/>
  </r>
  <r>
    <n v="345"/>
    <x v="0"/>
    <n v="37"/>
    <x v="5"/>
    <x v="2"/>
    <n v="440.8"/>
    <n v="7"/>
    <x v="11"/>
    <b v="0"/>
    <n v="25"/>
    <x v="1"/>
    <x v="1"/>
    <x v="3"/>
    <x v="0"/>
    <n v="0.5"/>
  </r>
  <r>
    <n v="346"/>
    <x v="0"/>
    <n v="31"/>
    <x v="0"/>
    <x v="0"/>
    <n v="1150.5999999999999"/>
    <n v="15"/>
    <x v="6"/>
    <b v="1"/>
    <n v="28"/>
    <x v="0"/>
    <x v="0"/>
    <x v="1"/>
    <x v="0"/>
    <n v="1"/>
  </r>
  <r>
    <n v="347"/>
    <x v="1"/>
    <n v="35"/>
    <x v="1"/>
    <x v="1"/>
    <n v="830.9"/>
    <n v="12"/>
    <x v="12"/>
    <b v="0"/>
    <n v="14"/>
    <x v="1"/>
    <x v="1"/>
    <x v="1"/>
    <x v="1"/>
    <n v="0.5"/>
  </r>
  <r>
    <n v="348"/>
    <x v="0"/>
    <n v="41"/>
    <x v="2"/>
    <x v="2"/>
    <n v="490.25"/>
    <n v="9"/>
    <x v="8"/>
    <b v="1"/>
    <n v="40"/>
    <x v="2"/>
    <x v="0"/>
    <x v="3"/>
    <x v="0"/>
    <n v="0"/>
  </r>
  <r>
    <n v="349"/>
    <x v="1"/>
    <n v="28"/>
    <x v="3"/>
    <x v="0"/>
    <n v="1480.1"/>
    <n v="21"/>
    <x v="15"/>
    <b v="0"/>
    <n v="10"/>
    <x v="0"/>
    <x v="1"/>
    <x v="0"/>
    <x v="1"/>
    <n v="1"/>
  </r>
  <r>
    <n v="350"/>
    <x v="1"/>
    <n v="32"/>
    <x v="4"/>
    <x v="1"/>
    <n v="690.3"/>
    <n v="10"/>
    <x v="10"/>
    <b v="1"/>
    <n v="34"/>
    <x v="2"/>
    <x v="0"/>
    <x v="1"/>
    <x v="0"/>
    <n v="0"/>
  </r>
  <r>
    <n v="351"/>
    <x v="0"/>
    <n v="36"/>
    <x v="5"/>
    <x v="2"/>
    <n v="480.5"/>
    <n v="8"/>
    <x v="5"/>
    <b v="0"/>
    <n v="20"/>
    <x v="1"/>
    <x v="1"/>
    <x v="3"/>
    <x v="1"/>
    <n v="0.5"/>
  </r>
  <r>
    <n v="352"/>
    <x v="0"/>
    <n v="30"/>
    <x v="0"/>
    <x v="0"/>
    <n v="1170.8"/>
    <n v="16"/>
    <x v="3"/>
    <b v="1"/>
    <n v="21"/>
    <x v="0"/>
    <x v="0"/>
    <x v="1"/>
    <x v="0"/>
    <n v="1"/>
  </r>
  <r>
    <n v="353"/>
    <x v="1"/>
    <n v="34"/>
    <x v="1"/>
    <x v="1"/>
    <n v="790.2"/>
    <n v="11"/>
    <x v="4"/>
    <b v="0"/>
    <n v="15"/>
    <x v="1"/>
    <x v="1"/>
    <x v="1"/>
    <x v="1"/>
    <n v="0.5"/>
  </r>
  <r>
    <n v="354"/>
    <x v="0"/>
    <n v="43"/>
    <x v="2"/>
    <x v="2"/>
    <n v="510.75"/>
    <n v="10"/>
    <x v="18"/>
    <b v="1"/>
    <n v="41"/>
    <x v="2"/>
    <x v="0"/>
    <x v="2"/>
    <x v="0"/>
    <n v="0"/>
  </r>
  <r>
    <n v="355"/>
    <x v="1"/>
    <n v="30"/>
    <x v="3"/>
    <x v="0"/>
    <n v="1440.5"/>
    <n v="19"/>
    <x v="0"/>
    <b v="0"/>
    <n v="12"/>
    <x v="0"/>
    <x v="1"/>
    <x v="1"/>
    <x v="1"/>
    <n v="1"/>
  </r>
  <r>
    <n v="356"/>
    <x v="1"/>
    <n v="27"/>
    <x v="4"/>
    <x v="1"/>
    <n v="700.4"/>
    <n v="13"/>
    <x v="1"/>
    <b v="1"/>
    <n v="56"/>
    <x v="2"/>
    <x v="0"/>
    <x v="0"/>
    <x v="2"/>
    <n v="0"/>
  </r>
  <r>
    <n v="357"/>
    <x v="0"/>
    <n v="37"/>
    <x v="5"/>
    <x v="2"/>
    <n v="410.8"/>
    <n v="7"/>
    <x v="2"/>
    <b v="0"/>
    <n v="26"/>
    <x v="1"/>
    <x v="1"/>
    <x v="3"/>
    <x v="0"/>
    <n v="0.5"/>
  </r>
  <r>
    <n v="358"/>
    <x v="0"/>
    <n v="31"/>
    <x v="0"/>
    <x v="0"/>
    <n v="1160.5999999999999"/>
    <n v="15"/>
    <x v="6"/>
    <b v="1"/>
    <n v="29"/>
    <x v="0"/>
    <x v="0"/>
    <x v="1"/>
    <x v="0"/>
    <n v="1"/>
  </r>
  <r>
    <n v="359"/>
    <x v="1"/>
    <n v="35"/>
    <x v="1"/>
    <x v="1"/>
    <n v="810.9"/>
    <n v="12"/>
    <x v="12"/>
    <b v="0"/>
    <n v="14"/>
    <x v="1"/>
    <x v="1"/>
    <x v="1"/>
    <x v="1"/>
    <n v="0.5"/>
  </r>
  <r>
    <n v="360"/>
    <x v="0"/>
    <n v="41"/>
    <x v="2"/>
    <x v="2"/>
    <n v="495.25"/>
    <n v="9"/>
    <x v="8"/>
    <b v="1"/>
    <n v="41"/>
    <x v="2"/>
    <x v="0"/>
    <x v="3"/>
    <x v="0"/>
    <n v="0"/>
  </r>
  <r>
    <n v="361"/>
    <x v="1"/>
    <n v="28"/>
    <x v="3"/>
    <x v="0"/>
    <n v="1490.1"/>
    <n v="21"/>
    <x v="15"/>
    <b v="0"/>
    <n v="10"/>
    <x v="0"/>
    <x v="1"/>
    <x v="0"/>
    <x v="1"/>
    <n v="1"/>
  </r>
  <r>
    <n v="362"/>
    <x v="1"/>
    <n v="32"/>
    <x v="4"/>
    <x v="1"/>
    <n v="660.3"/>
    <n v="10"/>
    <x v="10"/>
    <b v="1"/>
    <n v="35"/>
    <x v="2"/>
    <x v="0"/>
    <x v="1"/>
    <x v="0"/>
    <n v="0"/>
  </r>
  <r>
    <n v="363"/>
    <x v="0"/>
    <n v="36"/>
    <x v="5"/>
    <x v="2"/>
    <n v="430.5"/>
    <n v="8"/>
    <x v="5"/>
    <b v="0"/>
    <n v="21"/>
    <x v="1"/>
    <x v="1"/>
    <x v="3"/>
    <x v="0"/>
    <n v="0.5"/>
  </r>
  <r>
    <n v="364"/>
    <x v="0"/>
    <n v="30"/>
    <x v="0"/>
    <x v="0"/>
    <n v="1200.8"/>
    <n v="16"/>
    <x v="3"/>
    <b v="1"/>
    <n v="22"/>
    <x v="0"/>
    <x v="0"/>
    <x v="1"/>
    <x v="0"/>
    <n v="1"/>
  </r>
  <r>
    <n v="365"/>
    <x v="1"/>
    <n v="34"/>
    <x v="1"/>
    <x v="1"/>
    <n v="780.2"/>
    <n v="11"/>
    <x v="1"/>
    <b v="0"/>
    <n v="16"/>
    <x v="1"/>
    <x v="1"/>
    <x v="1"/>
    <x v="1"/>
    <n v="0.5"/>
  </r>
  <r>
    <n v="366"/>
    <x v="0"/>
    <n v="43"/>
    <x v="2"/>
    <x v="2"/>
    <n v="505.75"/>
    <n v="10"/>
    <x v="18"/>
    <b v="1"/>
    <n v="42"/>
    <x v="2"/>
    <x v="0"/>
    <x v="2"/>
    <x v="0"/>
    <n v="0"/>
  </r>
  <r>
    <n v="367"/>
    <x v="1"/>
    <n v="30"/>
    <x v="3"/>
    <x v="0"/>
    <n v="1460.5"/>
    <n v="20"/>
    <x v="9"/>
    <b v="0"/>
    <n v="13"/>
    <x v="0"/>
    <x v="1"/>
    <x v="1"/>
    <x v="1"/>
    <n v="1"/>
  </r>
  <r>
    <n v="368"/>
    <x v="1"/>
    <n v="27"/>
    <x v="4"/>
    <x v="1"/>
    <n v="710.4"/>
    <n v="13"/>
    <x v="1"/>
    <b v="1"/>
    <n v="57"/>
    <x v="2"/>
    <x v="0"/>
    <x v="0"/>
    <x v="2"/>
    <n v="0"/>
  </r>
  <r>
    <n v="369"/>
    <x v="0"/>
    <n v="37"/>
    <x v="5"/>
    <x v="2"/>
    <n v="450.8"/>
    <n v="7"/>
    <x v="2"/>
    <b v="0"/>
    <n v="24"/>
    <x v="1"/>
    <x v="1"/>
    <x v="3"/>
    <x v="0"/>
    <n v="0.5"/>
  </r>
  <r>
    <n v="370"/>
    <x v="0"/>
    <n v="31"/>
    <x v="0"/>
    <x v="0"/>
    <n v="1140.5999999999999"/>
    <n v="15"/>
    <x v="6"/>
    <b v="1"/>
    <n v="30"/>
    <x v="0"/>
    <x v="0"/>
    <x v="1"/>
    <x v="0"/>
    <n v="1"/>
  </r>
  <r>
    <n v="371"/>
    <x v="1"/>
    <n v="35"/>
    <x v="1"/>
    <x v="1"/>
    <n v="800.9"/>
    <n v="12"/>
    <x v="1"/>
    <b v="0"/>
    <n v="17"/>
    <x v="1"/>
    <x v="1"/>
    <x v="1"/>
    <x v="1"/>
    <n v="0.5"/>
  </r>
  <r>
    <n v="372"/>
    <x v="0"/>
    <n v="41"/>
    <x v="2"/>
    <x v="2"/>
    <n v="475.25"/>
    <n v="9"/>
    <x v="8"/>
    <b v="1"/>
    <n v="42"/>
    <x v="2"/>
    <x v="0"/>
    <x v="3"/>
    <x v="0"/>
    <n v="0"/>
  </r>
  <r>
    <n v="373"/>
    <x v="1"/>
    <n v="28"/>
    <x v="3"/>
    <x v="0"/>
    <n v="1480.1"/>
    <n v="21"/>
    <x v="15"/>
    <b v="0"/>
    <n v="11"/>
    <x v="0"/>
    <x v="1"/>
    <x v="0"/>
    <x v="1"/>
    <n v="1"/>
  </r>
  <r>
    <n v="374"/>
    <x v="1"/>
    <n v="32"/>
    <x v="4"/>
    <x v="1"/>
    <n v="660.3"/>
    <n v="10"/>
    <x v="10"/>
    <b v="1"/>
    <n v="36"/>
    <x v="2"/>
    <x v="0"/>
    <x v="1"/>
    <x v="0"/>
    <n v="0"/>
  </r>
  <r>
    <n v="375"/>
    <x v="0"/>
    <n v="36"/>
    <x v="5"/>
    <x v="2"/>
    <n v="470.5"/>
    <n v="8"/>
    <x v="17"/>
    <b v="0"/>
    <n v="22"/>
    <x v="1"/>
    <x v="1"/>
    <x v="3"/>
    <x v="0"/>
    <n v="0.5"/>
  </r>
  <r>
    <n v="376"/>
    <x v="0"/>
    <n v="30"/>
    <x v="0"/>
    <x v="0"/>
    <n v="1190.8"/>
    <n v="16"/>
    <x v="6"/>
    <b v="1"/>
    <n v="23"/>
    <x v="0"/>
    <x v="0"/>
    <x v="1"/>
    <x v="0"/>
    <n v="1"/>
  </r>
  <r>
    <n v="377"/>
    <x v="1"/>
    <n v="33"/>
    <x v="1"/>
    <x v="1"/>
    <n v="770.2"/>
    <n v="11"/>
    <x v="7"/>
    <b v="0"/>
    <n v="18"/>
    <x v="1"/>
    <x v="1"/>
    <x v="1"/>
    <x v="1"/>
    <n v="0.5"/>
  </r>
  <r>
    <n v="378"/>
    <x v="0"/>
    <n v="43"/>
    <x v="2"/>
    <x v="2"/>
    <n v="515.75"/>
    <n v="10"/>
    <x v="18"/>
    <b v="1"/>
    <n v="43"/>
    <x v="2"/>
    <x v="0"/>
    <x v="2"/>
    <x v="2"/>
    <n v="0"/>
  </r>
  <r>
    <n v="379"/>
    <x v="1"/>
    <n v="30"/>
    <x v="3"/>
    <x v="0"/>
    <n v="1450.5"/>
    <n v="19"/>
    <x v="0"/>
    <b v="0"/>
    <n v="12"/>
    <x v="0"/>
    <x v="1"/>
    <x v="1"/>
    <x v="1"/>
    <n v="1"/>
  </r>
  <r>
    <n v="380"/>
    <x v="1"/>
    <n v="27"/>
    <x v="4"/>
    <x v="1"/>
    <n v="710.4"/>
    <n v="13"/>
    <x v="1"/>
    <b v="1"/>
    <n v="58"/>
    <x v="2"/>
    <x v="0"/>
    <x v="0"/>
    <x v="2"/>
    <n v="0"/>
  </r>
  <r>
    <n v="381"/>
    <x v="0"/>
    <n v="37"/>
    <x v="5"/>
    <x v="2"/>
    <n v="430.8"/>
    <n v="7"/>
    <x v="2"/>
    <b v="0"/>
    <n v="27"/>
    <x v="1"/>
    <x v="1"/>
    <x v="3"/>
    <x v="0"/>
    <n v="0.5"/>
  </r>
  <r>
    <n v="382"/>
    <x v="0"/>
    <n v="31"/>
    <x v="0"/>
    <x v="0"/>
    <n v="1160.5999999999999"/>
    <n v="15"/>
    <x v="6"/>
    <b v="1"/>
    <n v="31"/>
    <x v="0"/>
    <x v="0"/>
    <x v="1"/>
    <x v="0"/>
    <n v="1"/>
  </r>
  <r>
    <n v="383"/>
    <x v="1"/>
    <n v="35"/>
    <x v="1"/>
    <x v="1"/>
    <n v="820.9"/>
    <n v="12"/>
    <x v="12"/>
    <b v="0"/>
    <n v="15"/>
    <x v="1"/>
    <x v="1"/>
    <x v="1"/>
    <x v="1"/>
    <n v="0.5"/>
  </r>
  <r>
    <n v="384"/>
    <x v="0"/>
    <n v="41"/>
    <x v="2"/>
    <x v="2"/>
    <n v="495.25"/>
    <n v="9"/>
    <x v="8"/>
    <b v="1"/>
    <n v="43"/>
    <x v="2"/>
    <x v="0"/>
    <x v="3"/>
    <x v="2"/>
    <n v="0"/>
  </r>
  <r>
    <n v="385"/>
    <x v="1"/>
    <n v="28"/>
    <x v="3"/>
    <x v="0"/>
    <n v="1490.1"/>
    <n v="21"/>
    <x v="15"/>
    <b v="0"/>
    <n v="10"/>
    <x v="0"/>
    <x v="1"/>
    <x v="0"/>
    <x v="1"/>
    <n v="1"/>
  </r>
  <r>
    <n v="386"/>
    <x v="1"/>
    <n v="32"/>
    <x v="4"/>
    <x v="1"/>
    <n v="660.3"/>
    <n v="10"/>
    <x v="10"/>
    <b v="1"/>
    <n v="37"/>
    <x v="2"/>
    <x v="0"/>
    <x v="1"/>
    <x v="0"/>
    <n v="0"/>
  </r>
  <r>
    <n v="387"/>
    <x v="0"/>
    <n v="36"/>
    <x v="5"/>
    <x v="2"/>
    <n v="440.5"/>
    <n v="8"/>
    <x v="5"/>
    <b v="0"/>
    <n v="23"/>
    <x v="1"/>
    <x v="1"/>
    <x v="3"/>
    <x v="0"/>
    <n v="0.5"/>
  </r>
  <r>
    <n v="388"/>
    <x v="0"/>
    <n v="30"/>
    <x v="0"/>
    <x v="0"/>
    <n v="1200.8"/>
    <n v="16"/>
    <x v="3"/>
    <b v="1"/>
    <n v="24"/>
    <x v="0"/>
    <x v="0"/>
    <x v="1"/>
    <x v="0"/>
    <n v="1"/>
  </r>
  <r>
    <n v="389"/>
    <x v="1"/>
    <n v="34"/>
    <x v="1"/>
    <x v="1"/>
    <n v="780.2"/>
    <n v="11"/>
    <x v="1"/>
    <b v="0"/>
    <n v="16"/>
    <x v="1"/>
    <x v="1"/>
    <x v="1"/>
    <x v="1"/>
    <n v="0.5"/>
  </r>
  <r>
    <n v="390"/>
    <x v="0"/>
    <n v="43"/>
    <x v="2"/>
    <x v="2"/>
    <n v="505.75"/>
    <n v="10"/>
    <x v="18"/>
    <b v="1"/>
    <n v="44"/>
    <x v="2"/>
    <x v="0"/>
    <x v="2"/>
    <x v="2"/>
    <n v="0"/>
  </r>
  <r>
    <n v="391"/>
    <x v="1"/>
    <n v="30"/>
    <x v="3"/>
    <x v="0"/>
    <n v="1460.5"/>
    <n v="20"/>
    <x v="9"/>
    <b v="0"/>
    <n v="13"/>
    <x v="0"/>
    <x v="1"/>
    <x v="1"/>
    <x v="1"/>
    <n v="1"/>
  </r>
  <r>
    <n v="392"/>
    <x v="1"/>
    <n v="27"/>
    <x v="4"/>
    <x v="1"/>
    <n v="710.4"/>
    <n v="13"/>
    <x v="1"/>
    <b v="1"/>
    <n v="59"/>
    <x v="2"/>
    <x v="0"/>
    <x v="0"/>
    <x v="2"/>
    <n v="0"/>
  </r>
  <r>
    <n v="393"/>
    <x v="0"/>
    <n v="37"/>
    <x v="5"/>
    <x v="2"/>
    <n v="450.8"/>
    <n v="7"/>
    <x v="2"/>
    <b v="0"/>
    <n v="28"/>
    <x v="1"/>
    <x v="1"/>
    <x v="3"/>
    <x v="0"/>
    <n v="0.5"/>
  </r>
  <r>
    <n v="394"/>
    <x v="0"/>
    <n v="31"/>
    <x v="0"/>
    <x v="0"/>
    <n v="1140.5999999999999"/>
    <n v="15"/>
    <x v="6"/>
    <b v="1"/>
    <n v="32"/>
    <x v="0"/>
    <x v="0"/>
    <x v="1"/>
    <x v="0"/>
    <n v="1"/>
  </r>
  <r>
    <n v="395"/>
    <x v="1"/>
    <n v="35"/>
    <x v="1"/>
    <x v="1"/>
    <n v="800.9"/>
    <n v="12"/>
    <x v="1"/>
    <b v="0"/>
    <n v="17"/>
    <x v="1"/>
    <x v="1"/>
    <x v="1"/>
    <x v="1"/>
    <n v="0.5"/>
  </r>
  <r>
    <n v="396"/>
    <x v="0"/>
    <n v="41"/>
    <x v="2"/>
    <x v="2"/>
    <n v="475.25"/>
    <n v="9"/>
    <x v="8"/>
    <b v="1"/>
    <n v="44"/>
    <x v="2"/>
    <x v="0"/>
    <x v="3"/>
    <x v="2"/>
    <n v="0"/>
  </r>
  <r>
    <n v="397"/>
    <x v="1"/>
    <n v="28"/>
    <x v="3"/>
    <x v="0"/>
    <n v="1480.1"/>
    <n v="21"/>
    <x v="15"/>
    <b v="0"/>
    <n v="12"/>
    <x v="0"/>
    <x v="1"/>
    <x v="0"/>
    <x v="1"/>
    <n v="1"/>
  </r>
  <r>
    <n v="398"/>
    <x v="1"/>
    <n v="32"/>
    <x v="4"/>
    <x v="1"/>
    <n v="660.3"/>
    <n v="10"/>
    <x v="10"/>
    <b v="1"/>
    <n v="38"/>
    <x v="2"/>
    <x v="0"/>
    <x v="1"/>
    <x v="0"/>
    <n v="0"/>
  </r>
  <r>
    <n v="399"/>
    <x v="0"/>
    <n v="36"/>
    <x v="5"/>
    <x v="2"/>
    <n v="470.5"/>
    <n v="8"/>
    <x v="17"/>
    <b v="0"/>
    <n v="22"/>
    <x v="1"/>
    <x v="1"/>
    <x v="3"/>
    <x v="0"/>
    <n v="0.5"/>
  </r>
  <r>
    <n v="400"/>
    <x v="0"/>
    <n v="30"/>
    <x v="0"/>
    <x v="0"/>
    <n v="1190.8"/>
    <n v="16"/>
    <x v="6"/>
    <b v="1"/>
    <n v="25"/>
    <x v="0"/>
    <x v="0"/>
    <x v="1"/>
    <x v="0"/>
    <n v="1"/>
  </r>
  <r>
    <n v="401"/>
    <x v="1"/>
    <n v="33"/>
    <x v="1"/>
    <x v="1"/>
    <n v="800.2"/>
    <n v="11"/>
    <x v="1"/>
    <b v="0"/>
    <n v="18"/>
    <x v="1"/>
    <x v="1"/>
    <x v="1"/>
    <x v="1"/>
    <n v="0.5"/>
  </r>
  <r>
    <n v="402"/>
    <x v="0"/>
    <n v="43"/>
    <x v="2"/>
    <x v="2"/>
    <n v="515.75"/>
    <n v="10"/>
    <x v="18"/>
    <b v="1"/>
    <n v="45"/>
    <x v="2"/>
    <x v="0"/>
    <x v="2"/>
    <x v="2"/>
    <n v="0"/>
  </r>
  <r>
    <n v="403"/>
    <x v="1"/>
    <n v="30"/>
    <x v="3"/>
    <x v="0"/>
    <n v="1450.5"/>
    <n v="19"/>
    <x v="0"/>
    <b v="0"/>
    <n v="13"/>
    <x v="0"/>
    <x v="1"/>
    <x v="1"/>
    <x v="1"/>
    <n v="1"/>
  </r>
  <r>
    <n v="404"/>
    <x v="1"/>
    <n v="27"/>
    <x v="4"/>
    <x v="1"/>
    <n v="710.4"/>
    <n v="13"/>
    <x v="1"/>
    <b v="1"/>
    <n v="60"/>
    <x v="2"/>
    <x v="0"/>
    <x v="0"/>
    <x v="2"/>
    <n v="0"/>
  </r>
  <r>
    <n v="405"/>
    <x v="0"/>
    <n v="37"/>
    <x v="5"/>
    <x v="2"/>
    <n v="430.8"/>
    <n v="7"/>
    <x v="2"/>
    <b v="0"/>
    <n v="29"/>
    <x v="1"/>
    <x v="1"/>
    <x v="3"/>
    <x v="0"/>
    <n v="0.5"/>
  </r>
  <r>
    <n v="406"/>
    <x v="0"/>
    <n v="31"/>
    <x v="0"/>
    <x v="0"/>
    <n v="1160.5999999999999"/>
    <n v="15"/>
    <x v="6"/>
    <b v="1"/>
    <n v="33"/>
    <x v="0"/>
    <x v="0"/>
    <x v="1"/>
    <x v="0"/>
    <n v="1"/>
  </r>
  <r>
    <n v="407"/>
    <x v="1"/>
    <n v="35"/>
    <x v="1"/>
    <x v="1"/>
    <n v="820.9"/>
    <n v="12"/>
    <x v="12"/>
    <b v="0"/>
    <n v="16"/>
    <x v="1"/>
    <x v="1"/>
    <x v="1"/>
    <x v="1"/>
    <n v="0.5"/>
  </r>
  <r>
    <n v="408"/>
    <x v="0"/>
    <n v="41"/>
    <x v="2"/>
    <x v="2"/>
    <n v="495.25"/>
    <n v="9"/>
    <x v="8"/>
    <b v="1"/>
    <n v="45"/>
    <x v="2"/>
    <x v="0"/>
    <x v="3"/>
    <x v="2"/>
    <n v="0"/>
  </r>
  <r>
    <n v="409"/>
    <x v="1"/>
    <n v="28"/>
    <x v="3"/>
    <x v="0"/>
    <n v="1490.1"/>
    <n v="21"/>
    <x v="15"/>
    <b v="0"/>
    <n v="11"/>
    <x v="0"/>
    <x v="1"/>
    <x v="0"/>
    <x v="1"/>
    <n v="1"/>
  </r>
  <r>
    <n v="410"/>
    <x v="1"/>
    <n v="32"/>
    <x v="4"/>
    <x v="1"/>
    <n v="660.3"/>
    <n v="10"/>
    <x v="10"/>
    <b v="1"/>
    <n v="39"/>
    <x v="2"/>
    <x v="0"/>
    <x v="1"/>
    <x v="0"/>
    <n v="0"/>
  </r>
  <r>
    <n v="411"/>
    <x v="0"/>
    <n v="36"/>
    <x v="5"/>
    <x v="2"/>
    <n v="440.5"/>
    <n v="8"/>
    <x v="5"/>
    <b v="0"/>
    <n v="24"/>
    <x v="1"/>
    <x v="1"/>
    <x v="3"/>
    <x v="0"/>
    <n v="0.5"/>
  </r>
  <r>
    <n v="412"/>
    <x v="0"/>
    <n v="30"/>
    <x v="0"/>
    <x v="0"/>
    <n v="1200.8"/>
    <n v="16"/>
    <x v="3"/>
    <b v="1"/>
    <n v="25"/>
    <x v="0"/>
    <x v="0"/>
    <x v="1"/>
    <x v="0"/>
    <n v="1"/>
  </r>
  <r>
    <n v="413"/>
    <x v="1"/>
    <n v="34"/>
    <x v="1"/>
    <x v="1"/>
    <n v="780.2"/>
    <n v="11"/>
    <x v="1"/>
    <b v="0"/>
    <n v="17"/>
    <x v="1"/>
    <x v="1"/>
    <x v="1"/>
    <x v="1"/>
    <n v="0.5"/>
  </r>
  <r>
    <n v="414"/>
    <x v="0"/>
    <n v="43"/>
    <x v="2"/>
    <x v="2"/>
    <n v="505.75"/>
    <n v="10"/>
    <x v="18"/>
    <b v="1"/>
    <n v="46"/>
    <x v="2"/>
    <x v="0"/>
    <x v="2"/>
    <x v="2"/>
    <n v="0"/>
  </r>
  <r>
    <n v="415"/>
    <x v="1"/>
    <n v="30"/>
    <x v="3"/>
    <x v="0"/>
    <n v="1460.5"/>
    <n v="20"/>
    <x v="9"/>
    <b v="0"/>
    <n v="14"/>
    <x v="0"/>
    <x v="1"/>
    <x v="1"/>
    <x v="1"/>
    <n v="1"/>
  </r>
  <r>
    <n v="416"/>
    <x v="1"/>
    <n v="27"/>
    <x v="4"/>
    <x v="1"/>
    <n v="710.4"/>
    <n v="13"/>
    <x v="1"/>
    <b v="1"/>
    <n v="61"/>
    <x v="2"/>
    <x v="0"/>
    <x v="0"/>
    <x v="2"/>
    <n v="0"/>
  </r>
  <r>
    <n v="417"/>
    <x v="0"/>
    <n v="37"/>
    <x v="5"/>
    <x v="2"/>
    <n v="450.8"/>
    <n v="7"/>
    <x v="2"/>
    <b v="0"/>
    <n v="30"/>
    <x v="1"/>
    <x v="1"/>
    <x v="3"/>
    <x v="0"/>
    <n v="0.5"/>
  </r>
  <r>
    <n v="418"/>
    <x v="0"/>
    <n v="31"/>
    <x v="0"/>
    <x v="0"/>
    <n v="1140.5999999999999"/>
    <n v="15"/>
    <x v="6"/>
    <b v="1"/>
    <n v="34"/>
    <x v="0"/>
    <x v="0"/>
    <x v="1"/>
    <x v="0"/>
    <n v="1"/>
  </r>
  <r>
    <n v="419"/>
    <x v="1"/>
    <n v="35"/>
    <x v="1"/>
    <x v="1"/>
    <n v="800.9"/>
    <n v="12"/>
    <x v="1"/>
    <b v="0"/>
    <n v="19"/>
    <x v="1"/>
    <x v="1"/>
    <x v="1"/>
    <x v="1"/>
    <n v="0.5"/>
  </r>
  <r>
    <n v="420"/>
    <x v="0"/>
    <n v="41"/>
    <x v="2"/>
    <x v="2"/>
    <n v="475.25"/>
    <n v="9"/>
    <x v="8"/>
    <b v="1"/>
    <n v="46"/>
    <x v="2"/>
    <x v="0"/>
    <x v="3"/>
    <x v="2"/>
    <n v="0"/>
  </r>
  <r>
    <n v="421"/>
    <x v="1"/>
    <n v="28"/>
    <x v="3"/>
    <x v="0"/>
    <n v="1480.1"/>
    <n v="21"/>
    <x v="15"/>
    <b v="0"/>
    <n v="12"/>
    <x v="0"/>
    <x v="1"/>
    <x v="0"/>
    <x v="1"/>
    <n v="1"/>
  </r>
  <r>
    <n v="422"/>
    <x v="1"/>
    <n v="32"/>
    <x v="4"/>
    <x v="1"/>
    <n v="660.3"/>
    <n v="10"/>
    <x v="10"/>
    <b v="1"/>
    <n v="40"/>
    <x v="2"/>
    <x v="0"/>
    <x v="1"/>
    <x v="0"/>
    <n v="0"/>
  </r>
  <r>
    <n v="423"/>
    <x v="0"/>
    <n v="36"/>
    <x v="5"/>
    <x v="2"/>
    <n v="470.5"/>
    <n v="8"/>
    <x v="17"/>
    <b v="0"/>
    <n v="26"/>
    <x v="1"/>
    <x v="1"/>
    <x v="3"/>
    <x v="0"/>
    <n v="0.5"/>
  </r>
  <r>
    <n v="424"/>
    <x v="0"/>
    <n v="30"/>
    <x v="0"/>
    <x v="0"/>
    <n v="1190.8"/>
    <n v="16"/>
    <x v="6"/>
    <b v="1"/>
    <n v="27"/>
    <x v="0"/>
    <x v="0"/>
    <x v="1"/>
    <x v="0"/>
    <n v="1"/>
  </r>
  <r>
    <n v="425"/>
    <x v="1"/>
    <n v="34"/>
    <x v="1"/>
    <x v="1"/>
    <n v="780.2"/>
    <n v="11"/>
    <x v="7"/>
    <b v="0"/>
    <n v="18"/>
    <x v="1"/>
    <x v="1"/>
    <x v="1"/>
    <x v="1"/>
    <n v="0.5"/>
  </r>
  <r>
    <n v="426"/>
    <x v="0"/>
    <n v="43"/>
    <x v="2"/>
    <x v="2"/>
    <n v="515.75"/>
    <n v="10"/>
    <x v="18"/>
    <b v="1"/>
    <n v="47"/>
    <x v="2"/>
    <x v="0"/>
    <x v="2"/>
    <x v="2"/>
    <n v="0"/>
  </r>
  <r>
    <n v="427"/>
    <x v="1"/>
    <n v="30"/>
    <x v="3"/>
    <x v="0"/>
    <n v="1450.5"/>
    <n v="19"/>
    <x v="0"/>
    <b v="0"/>
    <n v="14"/>
    <x v="0"/>
    <x v="1"/>
    <x v="1"/>
    <x v="1"/>
    <n v="1"/>
  </r>
  <r>
    <n v="428"/>
    <x v="1"/>
    <n v="27"/>
    <x v="4"/>
    <x v="1"/>
    <n v="710.4"/>
    <n v="13"/>
    <x v="1"/>
    <b v="1"/>
    <n v="62"/>
    <x v="2"/>
    <x v="0"/>
    <x v="0"/>
    <x v="2"/>
    <n v="0"/>
  </r>
  <r>
    <n v="429"/>
    <x v="0"/>
    <n v="37"/>
    <x v="5"/>
    <x v="2"/>
    <n v="430.8"/>
    <n v="7"/>
    <x v="2"/>
    <b v="0"/>
    <n v="31"/>
    <x v="1"/>
    <x v="1"/>
    <x v="3"/>
    <x v="0"/>
    <n v="0.5"/>
  </r>
  <r>
    <n v="430"/>
    <x v="0"/>
    <n v="31"/>
    <x v="0"/>
    <x v="0"/>
    <n v="1160.5999999999999"/>
    <n v="15"/>
    <x v="6"/>
    <b v="1"/>
    <n v="35"/>
    <x v="0"/>
    <x v="0"/>
    <x v="1"/>
    <x v="0"/>
    <n v="1"/>
  </r>
  <r>
    <n v="431"/>
    <x v="1"/>
    <n v="35"/>
    <x v="1"/>
    <x v="1"/>
    <n v="820.9"/>
    <n v="12"/>
    <x v="12"/>
    <b v="0"/>
    <n v="20"/>
    <x v="1"/>
    <x v="1"/>
    <x v="1"/>
    <x v="1"/>
    <n v="0.5"/>
  </r>
  <r>
    <n v="432"/>
    <x v="0"/>
    <n v="41"/>
    <x v="2"/>
    <x v="2"/>
    <n v="495.25"/>
    <n v="9"/>
    <x v="8"/>
    <b v="1"/>
    <n v="47"/>
    <x v="2"/>
    <x v="0"/>
    <x v="3"/>
    <x v="2"/>
    <n v="0"/>
  </r>
  <r>
    <n v="433"/>
    <x v="1"/>
    <n v="28"/>
    <x v="3"/>
    <x v="0"/>
    <n v="1490.1"/>
    <n v="21"/>
    <x v="15"/>
    <b v="0"/>
    <n v="11"/>
    <x v="0"/>
    <x v="1"/>
    <x v="0"/>
    <x v="1"/>
    <n v="1"/>
  </r>
  <r>
    <n v="434"/>
    <x v="1"/>
    <n v="32"/>
    <x v="4"/>
    <x v="1"/>
    <n v="660.3"/>
    <n v="10"/>
    <x v="10"/>
    <b v="1"/>
    <n v="41"/>
    <x v="2"/>
    <x v="0"/>
    <x v="1"/>
    <x v="0"/>
    <n v="0"/>
  </r>
  <r>
    <n v="435"/>
    <x v="0"/>
    <n v="36"/>
    <x v="5"/>
    <x v="2"/>
    <n v="440.5"/>
    <n v="8"/>
    <x v="5"/>
    <b v="0"/>
    <n v="28"/>
    <x v="1"/>
    <x v="1"/>
    <x v="3"/>
    <x v="0"/>
    <n v="0.5"/>
  </r>
  <r>
    <n v="436"/>
    <x v="0"/>
    <n v="30"/>
    <x v="0"/>
    <x v="0"/>
    <n v="1200.8"/>
    <n v="16"/>
    <x v="3"/>
    <b v="1"/>
    <n v="28"/>
    <x v="0"/>
    <x v="0"/>
    <x v="1"/>
    <x v="0"/>
    <n v="1"/>
  </r>
  <r>
    <n v="437"/>
    <x v="1"/>
    <n v="34"/>
    <x v="1"/>
    <x v="1"/>
    <n v="780.2"/>
    <n v="11"/>
    <x v="1"/>
    <b v="0"/>
    <n v="19"/>
    <x v="1"/>
    <x v="1"/>
    <x v="1"/>
    <x v="1"/>
    <n v="0.5"/>
  </r>
  <r>
    <n v="438"/>
    <x v="0"/>
    <n v="43"/>
    <x v="2"/>
    <x v="2"/>
    <n v="505.75"/>
    <n v="10"/>
    <x v="18"/>
    <b v="1"/>
    <n v="48"/>
    <x v="2"/>
    <x v="0"/>
    <x v="2"/>
    <x v="2"/>
    <n v="0"/>
  </r>
  <r>
    <n v="439"/>
    <x v="1"/>
    <n v="30"/>
    <x v="3"/>
    <x v="0"/>
    <n v="1460.5"/>
    <n v="20"/>
    <x v="9"/>
    <b v="0"/>
    <n v="15"/>
    <x v="0"/>
    <x v="1"/>
    <x v="1"/>
    <x v="1"/>
    <n v="1"/>
  </r>
  <r>
    <n v="440"/>
    <x v="1"/>
    <n v="27"/>
    <x v="4"/>
    <x v="1"/>
    <n v="710.4"/>
    <n v="13"/>
    <x v="1"/>
    <b v="1"/>
    <n v="63"/>
    <x v="2"/>
    <x v="0"/>
    <x v="0"/>
    <x v="2"/>
    <n v="0"/>
  </r>
  <r>
    <n v="441"/>
    <x v="0"/>
    <n v="37"/>
    <x v="5"/>
    <x v="2"/>
    <n v="450.8"/>
    <n v="7"/>
    <x v="2"/>
    <b v="0"/>
    <n v="32"/>
    <x v="1"/>
    <x v="1"/>
    <x v="3"/>
    <x v="0"/>
    <n v="0.5"/>
  </r>
  <r>
    <n v="442"/>
    <x v="0"/>
    <n v="31"/>
    <x v="0"/>
    <x v="0"/>
    <n v="1140.5999999999999"/>
    <n v="15"/>
    <x v="6"/>
    <b v="1"/>
    <n v="36"/>
    <x v="0"/>
    <x v="0"/>
    <x v="1"/>
    <x v="0"/>
    <n v="1"/>
  </r>
  <r>
    <n v="443"/>
    <x v="1"/>
    <n v="35"/>
    <x v="1"/>
    <x v="1"/>
    <n v="800.9"/>
    <n v="12"/>
    <x v="1"/>
    <b v="0"/>
    <n v="20"/>
    <x v="1"/>
    <x v="1"/>
    <x v="1"/>
    <x v="1"/>
    <n v="0.5"/>
  </r>
  <r>
    <n v="444"/>
    <x v="0"/>
    <n v="41"/>
    <x v="2"/>
    <x v="2"/>
    <n v="475.25"/>
    <n v="9"/>
    <x v="8"/>
    <b v="1"/>
    <n v="48"/>
    <x v="2"/>
    <x v="0"/>
    <x v="3"/>
    <x v="2"/>
    <n v="0"/>
  </r>
  <r>
    <n v="445"/>
    <x v="1"/>
    <n v="28"/>
    <x v="3"/>
    <x v="0"/>
    <n v="1480.1"/>
    <n v="21"/>
    <x v="15"/>
    <b v="0"/>
    <n v="13"/>
    <x v="0"/>
    <x v="1"/>
    <x v="0"/>
    <x v="1"/>
    <n v="1"/>
  </r>
  <r>
    <n v="446"/>
    <x v="1"/>
    <n v="32"/>
    <x v="4"/>
    <x v="1"/>
    <n v="660.3"/>
    <n v="10"/>
    <x v="10"/>
    <b v="1"/>
    <n v="42"/>
    <x v="2"/>
    <x v="0"/>
    <x v="1"/>
    <x v="0"/>
    <n v="0"/>
  </r>
  <r>
    <n v="447"/>
    <x v="0"/>
    <n v="36"/>
    <x v="5"/>
    <x v="2"/>
    <n v="470.5"/>
    <n v="8"/>
    <x v="17"/>
    <b v="0"/>
    <n v="27"/>
    <x v="1"/>
    <x v="1"/>
    <x v="3"/>
    <x v="0"/>
    <n v="0.5"/>
  </r>
  <r>
    <n v="448"/>
    <x v="0"/>
    <n v="30"/>
    <x v="0"/>
    <x v="0"/>
    <n v="1190.8"/>
    <n v="16"/>
    <x v="6"/>
    <b v="1"/>
    <n v="28"/>
    <x v="0"/>
    <x v="0"/>
    <x v="1"/>
    <x v="0"/>
    <n v="1"/>
  </r>
  <r>
    <n v="449"/>
    <x v="1"/>
    <n v="34"/>
    <x v="1"/>
    <x v="1"/>
    <n v="780.2"/>
    <n v="11"/>
    <x v="7"/>
    <b v="0"/>
    <n v="21"/>
    <x v="1"/>
    <x v="1"/>
    <x v="1"/>
    <x v="0"/>
    <n v="0.5"/>
  </r>
  <r>
    <n v="450"/>
    <x v="0"/>
    <n v="43"/>
    <x v="2"/>
    <x v="2"/>
    <n v="515.75"/>
    <n v="10"/>
    <x v="18"/>
    <b v="1"/>
    <n v="49"/>
    <x v="2"/>
    <x v="0"/>
    <x v="2"/>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E16A43-782F-43F3-8844-4CB99D0739FD}" name="PivotTable1" cacheId="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Avg Rating">
  <location ref="A3:D9" firstHeaderRow="1" firstDataRow="2" firstDataCol="1"/>
  <pivotFields count="15">
    <pivotField showAll="0"/>
    <pivotField showAll="0">
      <items count="3">
        <item x="0"/>
        <item x="1"/>
        <item t="default"/>
      </items>
    </pivotField>
    <pivotField showAll="0"/>
    <pivotField showAll="0">
      <items count="7">
        <item x="2"/>
        <item x="5"/>
        <item x="1"/>
        <item x="4"/>
        <item x="0"/>
        <item x="3"/>
        <item t="default"/>
      </items>
    </pivotField>
    <pivotField axis="axisCol" showAll="0">
      <items count="4">
        <item x="2"/>
        <item x="0"/>
        <item x="1"/>
        <item t="default"/>
      </items>
    </pivotField>
    <pivotField showAll="0"/>
    <pivotField showAll="0"/>
    <pivotField showAll="0"/>
    <pivotField showAll="0"/>
    <pivotField showAll="0"/>
    <pivotField axis="axisRow">
      <items count="5">
        <item x="1"/>
        <item x="3"/>
        <item x="0"/>
        <item x="2"/>
        <item t="default"/>
      </items>
    </pivotField>
    <pivotField showAll="0"/>
    <pivotField showAll="0"/>
    <pivotField showAll="0">
      <items count="4">
        <item x="1"/>
        <item x="2"/>
        <item x="0"/>
        <item t="default"/>
      </items>
    </pivotField>
    <pivotField dataField="1" showAll="0"/>
  </pivotFields>
  <rowFields count="1">
    <field x="10"/>
  </rowFields>
  <rowItems count="5">
    <i>
      <x/>
    </i>
    <i>
      <x v="1"/>
    </i>
    <i>
      <x v="2"/>
    </i>
    <i>
      <x v="3"/>
    </i>
    <i t="grand">
      <x/>
    </i>
  </rowItems>
  <colFields count="1">
    <field x="4"/>
  </colFields>
  <colItems count="3">
    <i>
      <x/>
    </i>
    <i>
      <x v="1"/>
    </i>
    <i>
      <x v="2"/>
    </i>
  </colItems>
  <dataFields count="1">
    <dataField name="Average of Satisfaction Score" fld="14" subtotal="average" baseField="10" baseItem="2"/>
  </dataFields>
  <formats count="1">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7E99A-60FD-4884-819F-12C3AB1F482A}"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Avg Rating">
  <location ref="A3:B6" firstHeaderRow="1" firstDataRow="1" firstDataCol="1"/>
  <pivotFields count="15">
    <pivotField dataField="1"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3"/>
  </rowFields>
  <rowItems count="3">
    <i>
      <x/>
    </i>
    <i>
      <x v="1"/>
    </i>
    <i>
      <x v="2"/>
    </i>
  </rowItems>
  <colItems count="1">
    <i/>
  </colItems>
  <dataFields count="1">
    <dataField name="Count of Customer ID" fld="0" subtotal="count" baseField="13"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0"/>
          </reference>
        </references>
      </pivotArea>
    </chartFormat>
    <chartFormat chart="4" format="7">
      <pivotArea type="data" outline="0" fieldPosition="0">
        <references count="2">
          <reference field="4294967294" count="1" selected="0">
            <x v="0"/>
          </reference>
          <reference field="13" count="1" selected="0">
            <x v="1"/>
          </reference>
        </references>
      </pivotArea>
    </chartFormat>
    <chartFormat chart="4" format="8">
      <pivotArea type="data" outline="0" fieldPosition="0">
        <references count="2">
          <reference field="4294967294" count="1" selected="0">
            <x v="0"/>
          </reference>
          <reference field="13" count="1" selected="0">
            <x v="2"/>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F4B8CB-51BF-4F48-92C9-C9CE5D6058B1}" name="PivotTable1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Avg Rating">
  <location ref="A13:B15" firstHeaderRow="1" firstDataRow="1" firstDataCol="1"/>
  <pivotFields count="15">
    <pivotField showAll="0"/>
    <pivotField showAll="0">
      <items count="3">
        <item x="0"/>
        <item x="1"/>
        <item t="default"/>
      </items>
    </pivotField>
    <pivotField showAll="0"/>
    <pivotField showAll="0" sortType="descending">
      <items count="7">
        <item x="2"/>
        <item x="5"/>
        <item x="1"/>
        <item x="4"/>
        <item x="0"/>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showAll="0"/>
    <pivotField showAll="0"/>
    <pivotField showAll="0"/>
    <pivotField showAll="0"/>
    <pivotField showAll="0"/>
    <pivotField showAll="0"/>
    <pivotField axis="axisRow" showAll="0">
      <items count="3">
        <item x="1"/>
        <item x="0"/>
        <item t="default"/>
      </items>
    </pivotField>
    <pivotField showAll="0"/>
    <pivotField showAll="0">
      <items count="4">
        <item x="1"/>
        <item x="2"/>
        <item x="0"/>
        <item t="default"/>
      </items>
    </pivotField>
    <pivotField showAll="0"/>
  </pivotFields>
  <rowFields count="1">
    <field x="11"/>
  </rowFields>
  <rowItems count="2">
    <i>
      <x/>
    </i>
    <i>
      <x v="1"/>
    </i>
  </rowItems>
  <colItems count="1">
    <i/>
  </colItems>
  <dataFields count="1">
    <dataField name="Sum of Total Spend" fld="5" baseField="3"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2A1B9F-E3C6-43AD-B4AB-14F0064594BC}"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Avg Rating">
  <location ref="A3:B9" firstHeaderRow="1" firstDataRow="1" firstDataCol="1"/>
  <pivotFields count="15">
    <pivotField showAll="0"/>
    <pivotField showAll="0">
      <items count="3">
        <item x="0"/>
        <item x="1"/>
        <item t="default"/>
      </items>
    </pivotField>
    <pivotField showAll="0"/>
    <pivotField axis="axisRow" showAll="0" sortType="descending">
      <items count="7">
        <item x="2"/>
        <item x="5"/>
        <item x="1"/>
        <item x="4"/>
        <item x="0"/>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3"/>
  </rowFields>
  <rowItems count="6">
    <i>
      <x v="5"/>
    </i>
    <i>
      <x v="4"/>
    </i>
    <i>
      <x v="2"/>
    </i>
    <i>
      <x v="3"/>
    </i>
    <i>
      <x/>
    </i>
    <i>
      <x v="1"/>
    </i>
  </rowItems>
  <colItems count="1">
    <i/>
  </colItems>
  <dataFields count="1">
    <dataField name="Sum of Total Spend" fld="5" baseField="3"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BD90A2-CD7B-4099-ADD8-F04A1A17E334}"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Avg Rating">
  <location ref="A3:B23" firstHeaderRow="1" firstDataRow="1" firstDataCol="1"/>
  <pivotFields count="15">
    <pivotField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dataField="1" showAll="0"/>
    <pivotField showAll="0"/>
    <pivotField axis="axisRow" showAll="0">
      <items count="21">
        <item x="17"/>
        <item x="5"/>
        <item x="11"/>
        <item x="18"/>
        <item x="2"/>
        <item x="14"/>
        <item x="8"/>
        <item x="16"/>
        <item x="10"/>
        <item x="19"/>
        <item x="4"/>
        <item x="1"/>
        <item x="7"/>
        <item x="12"/>
        <item x="13"/>
        <item x="6"/>
        <item x="0"/>
        <item x="3"/>
        <item x="9"/>
        <item x="15"/>
        <item t="default"/>
      </items>
    </pivotField>
    <pivotField showAll="0"/>
    <pivotField showAll="0"/>
    <pivotField showAll="0"/>
    <pivotField showAll="0"/>
    <pivotField showAll="0"/>
    <pivotField showAll="0">
      <items count="4">
        <item x="1"/>
        <item x="2"/>
        <item x="0"/>
        <item t="default"/>
      </items>
    </pivotField>
    <pivotField showAll="0"/>
  </pivotFields>
  <rowFields count="1">
    <field x="7"/>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Sum of Total Spend" fld="5" baseField="7"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DCEC99-76F9-4013-8D25-B784A23D283C}"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8" firstHeaderRow="1" firstDataRow="2" firstDataCol="1"/>
  <pivotFields count="15">
    <pivotField showAll="0"/>
    <pivotField axis="axisCol"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showAll="0"/>
    <pivotField dataField="1" showAll="0"/>
    <pivotField showAll="0"/>
    <pivotField showAll="0"/>
    <pivotField showAll="0"/>
    <pivotField showAll="0"/>
    <pivotField showAll="0"/>
    <pivotField axis="axisRow" showAll="0">
      <items count="5">
        <item x="0"/>
        <item x="1"/>
        <item x="3"/>
        <item x="2"/>
        <item t="default"/>
      </items>
    </pivotField>
    <pivotField showAll="0">
      <items count="4">
        <item x="1"/>
        <item x="2"/>
        <item x="0"/>
        <item t="default"/>
      </items>
    </pivotField>
    <pivotField showAll="0"/>
  </pivotFields>
  <rowFields count="1">
    <field x="12"/>
  </rowFields>
  <rowItems count="4">
    <i>
      <x/>
    </i>
    <i>
      <x v="1"/>
    </i>
    <i>
      <x v="2"/>
    </i>
    <i>
      <x v="3"/>
    </i>
  </rowItems>
  <colFields count="1">
    <field x="1"/>
  </colFields>
  <colItems count="2">
    <i>
      <x/>
    </i>
    <i>
      <x v="1"/>
    </i>
  </colItems>
  <dataFields count="1">
    <dataField name="Sum of Items Purchas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40AD3A-F1D8-42AF-8B0D-F16B0DCB493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5">
    <pivotField dataField="1" showAll="0"/>
    <pivotField axis="axisRow"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1"/>
  </rowFields>
  <rowItems count="3">
    <i>
      <x/>
    </i>
    <i>
      <x v="1"/>
    </i>
    <i t="grand">
      <x/>
    </i>
  </rowItems>
  <colItems count="1">
    <i/>
  </colItems>
  <dataFields count="1">
    <dataField name="Count of Customer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961332-EA65-493C-B5E8-0D20400CBB7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location ref="A3:B5" firstHeaderRow="1" firstDataRow="1" firstDataCol="1"/>
  <pivotFields count="15">
    <pivotField showAll="0"/>
    <pivotField showAll="0">
      <items count="3">
        <item x="0"/>
        <item x="1"/>
        <item t="default"/>
      </items>
    </pivotField>
    <pivotField showAll="0"/>
    <pivotField axis="axisRow" showAll="0" measureFilter="1">
      <items count="7">
        <item x="2"/>
        <item x="5"/>
        <item x="1"/>
        <item x="4"/>
        <item x="0"/>
        <item x="3"/>
        <item t="default"/>
      </items>
    </pivotField>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3"/>
  </rowFields>
  <rowItems count="2">
    <i>
      <x v="5"/>
    </i>
    <i t="grand">
      <x/>
    </i>
  </rowItems>
  <colItems count="1">
    <i/>
  </colItems>
  <dataFields count="1">
    <dataField name="Sum of Total Spend" fld="5" baseField="3" baseItem="0" numFmtId="164"/>
  </dataFields>
  <pivotTableStyleInfo name="PivotStyleLight16" showRowHeaders="1" showColHeaders="1" showRowStripes="0" showColStripes="0" showLastColumn="1"/>
  <filters count="1">
    <filter fld="3"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0A79AA-AADE-4A9E-A2BF-04BE47E46EF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location ref="A3:B5" firstHeaderRow="1" firstDataRow="1" firstDataCol="1"/>
  <pivotFields count="15">
    <pivotField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dataField="1" showAll="0"/>
    <pivotField showAll="0"/>
    <pivotField showAll="0"/>
    <pivotField showAll="0"/>
    <pivotField showAll="0"/>
    <pivotField showAll="0"/>
    <pivotField showAll="0"/>
    <pivotField axis="axisRow" showAll="0" measureFilter="1">
      <items count="5">
        <item x="0"/>
        <item x="1"/>
        <item x="3"/>
        <item x="2"/>
        <item t="default"/>
      </items>
    </pivotField>
    <pivotField showAll="0">
      <items count="4">
        <item x="1"/>
        <item x="2"/>
        <item x="0"/>
        <item t="default"/>
      </items>
    </pivotField>
    <pivotField showAll="0"/>
  </pivotFields>
  <rowFields count="1">
    <field x="12"/>
  </rowFields>
  <rowItems count="2">
    <i>
      <x v="1"/>
    </i>
    <i t="grand">
      <x/>
    </i>
  </rowItems>
  <colItems count="1">
    <i/>
  </colItems>
  <dataFields count="1">
    <dataField name="Sum of Total Spend" fld="5" baseField="12" baseItem="0" numFmtId="164"/>
  </dataFields>
  <pivotTableStyleInfo name="PivotStyleLight16" showRowHeaders="1" showColHeaders="1" showRowStripes="0" showColStripes="0" showLastColumn="1"/>
  <filters count="1">
    <filter fld="1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A1CF1C-74C4-46DD-9308-F8744348F5C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location ref="A3:A4" firstHeaderRow="1" firstDataRow="1" firstDataCol="0"/>
  <pivotFields count="15">
    <pivotField dataField="1"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C513556-E9B9-44A0-9455-1FDB96F497B9}" sourceName="Gender">
  <pivotTables>
    <pivotTable tabId="11" name="PivotTable1"/>
    <pivotTable tabId="9" name="PivotTable1"/>
    <pivotTable tabId="2" name="PivotTable1"/>
    <pivotTable tabId="7" name="PivotTable1"/>
    <pivotTable tabId="7" name="PivotTable17"/>
    <pivotTable tabId="6" name="PivotTable1"/>
    <pivotTable tabId="4" name="PivotTable1"/>
    <pivotTable tabId="13" name="PivotTable1"/>
    <pivotTable tabId="14" name="PivotTable2"/>
    <pivotTable tabId="15" name="PivotTable3"/>
  </pivotTables>
  <data>
    <tabular pivotCacheId="14164606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852DBC5-DE85-4F02-A432-1175DFEF2722}" sourceName="City">
  <pivotTables>
    <pivotTable tabId="2" name="PivotTable1"/>
    <pivotTable tabId="7" name="PivotTable17"/>
    <pivotTable tabId="4" name="PivotTable1"/>
    <pivotTable tabId="6" name="PivotTable1"/>
    <pivotTable tabId="9" name="PivotTable1"/>
    <pivotTable tabId="13" name="PivotTable1"/>
    <pivotTable tabId="14" name="PivotTable2"/>
    <pivotTable tabId="15" name="PivotTable3"/>
  </pivotTables>
  <data>
    <tabular pivotCacheId="1416460604">
      <items count="6">
        <i x="2" s="1"/>
        <i x="5" s="1"/>
        <i x="1"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1" xr10:uid="{4BB4A4D8-67F6-4AB3-ABD8-41CC59C0CF9F}" sourceName="Membership Type">
  <pivotTables>
    <pivotTable tabId="11" name="PivotTable1"/>
    <pivotTable tabId="2" name="PivotTable1"/>
    <pivotTable tabId="7" name="PivotTable1"/>
    <pivotTable tabId="7" name="PivotTable17"/>
    <pivotTable tabId="6" name="PivotTable1"/>
    <pivotTable tabId="4" name="PivotTable1"/>
    <pivotTable tabId="13" name="PivotTable1"/>
    <pivotTable tabId="14" name="PivotTable2"/>
    <pivotTable tabId="15" name="PivotTable3"/>
  </pivotTables>
  <data>
    <tabular pivotCacheId="1416460604">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ing_Active1" xr10:uid="{54895C3D-DEE4-4B04-AAF6-9237C9D9E7C8}" sourceName="Being Active">
  <pivotTables>
    <pivotTable tabId="11" name="PivotTable1"/>
    <pivotTable tabId="2" name="PivotTable1"/>
    <pivotTable tabId="7" name="PivotTable1"/>
    <pivotTable tabId="7" name="PivotTable17"/>
    <pivotTable tabId="4" name="PivotTable1"/>
    <pivotTable tabId="9" name="PivotTable1"/>
    <pivotTable tabId="13" name="PivotTable1"/>
    <pivotTable tabId="14" name="PivotTable2"/>
    <pivotTable tabId="15" name="PivotTable3"/>
  </pivotTables>
  <data>
    <tabular pivotCacheId="141646060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C09B2EF-8A75-45EF-B8D5-A94D6BBFC1AD}" cache="Slicer_Gender1" caption="Gender" columnCount="2" style="Slicer Style 1" rowHeight="249238"/>
  <slicer name="City 2" xr10:uid="{6993D3E1-BBAF-44A8-B41E-6F839A550AC7}" cache="Slicer_City1" caption="City" columnCount="6" style="Slicer Style 1" rowHeight="249238"/>
  <slicer name="Membership Type 2" xr10:uid="{DCCD58CA-07ED-4407-ADC9-7B1EE47AC30F}" cache="Slicer_Membership_Type1" caption="Membership Type" columnCount="3" style="Slicer Style 1" rowHeight="249238"/>
  <slicer name="Being Active 1" xr10:uid="{B7280D7D-1543-4969-9A2A-E7A545F07784}" cache="Slicer_Being_Active1" caption="Being Active" columnCount="3" style="Slicer Style 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0E08BBF-5A11-4F75-A362-71B0EEAD69FC}" cache="Slicer_Gender1" caption="Gender" rowHeight="249238"/>
  <slicer name="City" xr10:uid="{E495DDDD-D811-4829-8755-C1F88322E0C3}" cache="Slicer_City1" caption="City" rowHeight="249238"/>
  <slicer name="Membership Type" xr10:uid="{817636C8-BDE0-4CF5-9401-869AC935D07F}" cache="Slicer_Membership_Type1" caption="Membership Type" rowHeight="249238"/>
  <slicer name="Being Active" xr10:uid="{C88E6924-A505-4483-93C6-B7601ED1EFA0}" cache="Slicer_Being_Active1" caption="Being Active"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40B60D-F0D3-4545-97C9-EBF0B91EAC8A}" name="Table1" displayName="Table1" ref="A1:O351" totalsRowShown="0">
  <autoFilter ref="A1:O351" xr:uid="{7D40B60D-F0D3-4545-97C9-EBF0B91EAC8A}"/>
  <tableColumns count="15">
    <tableColumn id="1" xr3:uid="{A40E5B05-25CE-4501-AC36-1434AE3A5DF5}" name="Customer ID"/>
    <tableColumn id="2" xr3:uid="{EBFDCFC9-FDC5-43D2-83F7-9D4278480D47}" name="Gender"/>
    <tableColumn id="3" xr3:uid="{D6F1DD3D-675F-4AE0-876D-A384B4AD09A3}" name="Age"/>
    <tableColumn id="4" xr3:uid="{8758A13C-5BEE-4378-8DBC-86984CCF9E98}" name="City"/>
    <tableColumn id="5" xr3:uid="{03CD2665-3327-41F1-B556-E0BF6A899B83}" name="Membership Type"/>
    <tableColumn id="6" xr3:uid="{8B60B369-9EF3-430C-88C4-F18F7F44BBD9}" name="Total Spend"/>
    <tableColumn id="7" xr3:uid="{3AF89E40-C8BF-4014-B546-2E45421F44CD}" name="Items Purchased"/>
    <tableColumn id="8" xr3:uid="{6916FF45-ECDB-4A22-A5C6-5D65AF21E6E4}" name="Average Rating"/>
    <tableColumn id="9" xr3:uid="{AFA4C051-7BC8-4B22-ABEC-D50ACA337ED4}" name="Discount Applied"/>
    <tableColumn id="10" xr3:uid="{500E4DC0-E839-41AF-AB3A-88539D858965}" name="Days Since Last Purchase"/>
    <tableColumn id="11" xr3:uid="{D34DEB10-C0D7-4955-B06A-BD241A6726F6}" name="Satisfaction Level"/>
    <tableColumn id="12" xr3:uid="{B8B4A023-2B3B-4B0E-88A1-5250B1FB71C5}" name="Discount Applied  (Yes/No)" dataDxfId="24">
      <calculatedColumnFormula array="1">_xlfn.IFS(Table1[[#This Row],[Discount Applied]]=TRUE,"Yes",Table1[[#This Row],[Discount Applied]]=FALSE,"No")</calculatedColumnFormula>
    </tableColumn>
    <tableColumn id="13" xr3:uid="{86287FE0-9C3E-4F52-A359-23984BE91350}" name="Age Group" dataDxfId="23">
      <calculatedColumnFormula array="1">_xlfn.IFS(Table1[[#This Row],[Age]]&lt;18,"Under 18",Table1[[#This Row],[Age]]&lt;=23,"18-23",Table1[[#This Row],[Age]]&lt;=29,"24-29",Table1[[#This Row],[Age]]&lt;=35,"30-35",Table1[[#This Row],[Age]]&lt;=41,"36-41",Table1[[#This Row],[Age]]&gt;41,"Over 41")</calculatedColumnFormula>
    </tableColumn>
    <tableColumn id="15" xr3:uid="{1F0D1AEF-1714-4642-BB86-EEC0D7E84E94}" name="Being Active" dataDxfId="22">
      <calculatedColumnFormula array="1">_xlfn.IFS(Table1[[#This Row],[Days Since Last Purchase]]&lt;21,"Active",Table1[[#This Row],[Days Since Last Purchase]]&lt;=42,"Moderately Active",Table1[[#This Row],[Days Since Last Purchase]]&gt;=43, "Inactive")</calculatedColumnFormula>
    </tableColumn>
    <tableColumn id="16" xr3:uid="{DC0591C3-8BFE-4B0A-8EF0-6BD97DAAD3AA}" name="Satisfaction Score" dataDxfId="21">
      <calculatedColumnFormula>IF(K2="Satisfied",1,IF(K2="Neutral",0.5,IF(K2="Unsatisfied",0,IF(Table1[[#This Row],[Satisfaction Level]]="No Response","0"))))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71864-2FEC-4846-BA2A-FEB5FEA07D0A}">
  <dimension ref="B1:Z2"/>
  <sheetViews>
    <sheetView showGridLines="0" zoomScale="55" zoomScaleNormal="47" workbookViewId="0">
      <selection activeCell="AC38" sqref="AC38"/>
    </sheetView>
  </sheetViews>
  <sheetFormatPr defaultRowHeight="14.25" x14ac:dyDescent="0.45"/>
  <cols>
    <col min="1" max="1" width="1.59765625" customWidth="1"/>
  </cols>
  <sheetData>
    <row r="1" spans="2:26" ht="5" customHeight="1" x14ac:dyDescent="0.45"/>
    <row r="2" spans="2:26" ht="52.15" customHeight="1" x14ac:dyDescent="0.45">
      <c r="B2" s="16" t="s">
        <v>60</v>
      </c>
      <c r="C2" s="16"/>
      <c r="D2" s="16"/>
      <c r="E2" s="16"/>
      <c r="F2" s="16"/>
      <c r="G2" s="16"/>
      <c r="H2" s="16"/>
      <c r="I2" s="16"/>
      <c r="J2" s="16"/>
      <c r="K2" s="16"/>
      <c r="L2" s="16"/>
      <c r="M2" s="16"/>
      <c r="N2" s="16"/>
      <c r="O2" s="16"/>
      <c r="P2" s="16"/>
      <c r="Q2" s="16"/>
      <c r="R2" s="16"/>
      <c r="S2" s="16"/>
      <c r="T2" s="16"/>
      <c r="U2" s="16"/>
      <c r="V2" s="16"/>
      <c r="W2" s="16"/>
      <c r="X2" s="16"/>
      <c r="Y2" s="16"/>
      <c r="Z2" s="16"/>
    </row>
  </sheetData>
  <mergeCells count="1">
    <mergeCell ref="B2:Z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951B-0F60-419A-BA68-DC02B3093D52}">
  <dimension ref="A3:K24"/>
  <sheetViews>
    <sheetView topLeftCell="A2" zoomScale="73" workbookViewId="0">
      <selection activeCell="N18" sqref="N18"/>
    </sheetView>
  </sheetViews>
  <sheetFormatPr defaultRowHeight="14.25" x14ac:dyDescent="0.45"/>
  <cols>
    <col min="1" max="1" width="24.06640625" bestFit="1" customWidth="1"/>
    <col min="2" max="2" width="15.796875" bestFit="1" customWidth="1"/>
    <col min="3" max="3" width="5.265625" bestFit="1" customWidth="1"/>
    <col min="4" max="4" width="5.33203125" bestFit="1" customWidth="1"/>
    <col min="5" max="5" width="9.9296875" style="5" bestFit="1" customWidth="1"/>
    <col min="6" max="6" width="11" bestFit="1" customWidth="1"/>
  </cols>
  <sheetData>
    <row r="3" spans="1:7" x14ac:dyDescent="0.45">
      <c r="A3" s="1" t="s">
        <v>57</v>
      </c>
      <c r="B3" s="1" t="s">
        <v>34</v>
      </c>
      <c r="E3"/>
      <c r="F3" s="9" t="s">
        <v>14</v>
      </c>
      <c r="G3" s="9">
        <v>1</v>
      </c>
    </row>
    <row r="4" spans="1:7" x14ac:dyDescent="0.45">
      <c r="A4" s="1" t="s">
        <v>40</v>
      </c>
      <c r="B4" t="s">
        <v>20</v>
      </c>
      <c r="C4" t="s">
        <v>13</v>
      </c>
      <c r="D4" t="s">
        <v>17</v>
      </c>
      <c r="E4"/>
      <c r="F4" s="9" t="s">
        <v>18</v>
      </c>
      <c r="G4" s="9">
        <v>0.5</v>
      </c>
    </row>
    <row r="5" spans="1:7" x14ac:dyDescent="0.45">
      <c r="A5" s="2" t="s">
        <v>18</v>
      </c>
      <c r="B5" s="17">
        <v>0.5</v>
      </c>
      <c r="C5" s="17"/>
      <c r="D5" s="17">
        <v>0.5</v>
      </c>
      <c r="E5"/>
      <c r="F5" s="9" t="s">
        <v>21</v>
      </c>
      <c r="G5" s="9">
        <v>0</v>
      </c>
    </row>
    <row r="6" spans="1:7" x14ac:dyDescent="0.45">
      <c r="A6" s="2" t="s">
        <v>25</v>
      </c>
      <c r="B6" s="17" t="e">
        <v>#DIV/0!</v>
      </c>
      <c r="C6" s="17"/>
      <c r="D6" s="17"/>
      <c r="E6"/>
      <c r="F6" s="9" t="s">
        <v>25</v>
      </c>
      <c r="G6" s="9">
        <v>0</v>
      </c>
    </row>
    <row r="7" spans="1:7" x14ac:dyDescent="0.45">
      <c r="A7" s="2" t="s">
        <v>14</v>
      </c>
      <c r="B7" s="17"/>
      <c r="C7" s="17">
        <v>1</v>
      </c>
      <c r="D7" s="17">
        <v>1</v>
      </c>
      <c r="E7"/>
    </row>
    <row r="8" spans="1:7" x14ac:dyDescent="0.45">
      <c r="A8" s="2" t="s">
        <v>21</v>
      </c>
      <c r="B8" s="17">
        <v>0</v>
      </c>
      <c r="C8" s="17"/>
      <c r="D8" s="17">
        <v>0</v>
      </c>
      <c r="E8"/>
    </row>
    <row r="9" spans="1:7" x14ac:dyDescent="0.45">
      <c r="A9" s="2" t="s">
        <v>33</v>
      </c>
      <c r="B9" s="8">
        <v>0.24561403508771928</v>
      </c>
      <c r="C9" s="8">
        <v>1</v>
      </c>
      <c r="D9" s="8">
        <v>0.28632478632478631</v>
      </c>
    </row>
    <row r="11" spans="1:7" x14ac:dyDescent="0.45">
      <c r="A11" s="2"/>
      <c r="B11" s="13"/>
    </row>
    <row r="12" spans="1:7" x14ac:dyDescent="0.45">
      <c r="A12" t="str" cm="1">
        <f t="array" ref="A12:D16">A5:D9</f>
        <v>Neutral</v>
      </c>
      <c r="B12">
        <v>0.5</v>
      </c>
      <c r="C12">
        <v>0</v>
      </c>
      <c r="D12">
        <v>0.5</v>
      </c>
    </row>
    <row r="13" spans="1:7" x14ac:dyDescent="0.45">
      <c r="A13" t="str">
        <v>No Response</v>
      </c>
      <c r="B13" t="e">
        <v>#DIV/0!</v>
      </c>
      <c r="C13">
        <v>0</v>
      </c>
      <c r="D13">
        <v>0</v>
      </c>
    </row>
    <row r="14" spans="1:7" x14ac:dyDescent="0.45">
      <c r="A14" t="str">
        <v>Satisfied</v>
      </c>
      <c r="B14">
        <v>0</v>
      </c>
      <c r="C14">
        <v>1</v>
      </c>
      <c r="D14">
        <v>1</v>
      </c>
    </row>
    <row r="15" spans="1:7" x14ac:dyDescent="0.45">
      <c r="A15" t="str">
        <v>Unsatisfied</v>
      </c>
      <c r="B15">
        <v>0</v>
      </c>
      <c r="C15">
        <v>0</v>
      </c>
      <c r="D15">
        <v>0</v>
      </c>
    </row>
    <row r="16" spans="1:7" x14ac:dyDescent="0.45">
      <c r="A16" t="str">
        <v>Grand Total</v>
      </c>
      <c r="B16" s="7">
        <v>0.24561403508771928</v>
      </c>
      <c r="C16" s="7">
        <v>1</v>
      </c>
      <c r="D16" s="7">
        <v>0.28632478632478631</v>
      </c>
    </row>
    <row r="17" spans="1:11" x14ac:dyDescent="0.45">
      <c r="B17" s="7"/>
      <c r="C17" s="7"/>
      <c r="D17" s="7"/>
    </row>
    <row r="18" spans="1:11" x14ac:dyDescent="0.45">
      <c r="A18" s="15" t="s">
        <v>45</v>
      </c>
      <c r="B18" s="15"/>
      <c r="D18" t="s">
        <v>20</v>
      </c>
      <c r="G18" t="s">
        <v>13</v>
      </c>
      <c r="J18" t="s">
        <v>17</v>
      </c>
    </row>
    <row r="19" spans="1:11" x14ac:dyDescent="0.45">
      <c r="A19" s="11" t="s">
        <v>46</v>
      </c>
      <c r="B19" s="11" t="s">
        <v>47</v>
      </c>
      <c r="D19" s="11" t="s">
        <v>53</v>
      </c>
      <c r="E19" s="12">
        <f>B16</f>
        <v>0.24561403508771928</v>
      </c>
      <c r="G19" s="11" t="s">
        <v>53</v>
      </c>
      <c r="H19" s="12">
        <f>C16</f>
        <v>1</v>
      </c>
      <c r="J19" s="11" t="s">
        <v>53</v>
      </c>
      <c r="K19" s="12">
        <f>D16</f>
        <v>0.28632478632478631</v>
      </c>
    </row>
    <row r="20" spans="1:11" x14ac:dyDescent="0.45">
      <c r="A20" s="9" t="s">
        <v>48</v>
      </c>
      <c r="B20" s="10">
        <v>0</v>
      </c>
      <c r="D20" s="11" t="s">
        <v>54</v>
      </c>
      <c r="E20" s="12">
        <v>0.03</v>
      </c>
      <c r="G20" s="11" t="s">
        <v>54</v>
      </c>
      <c r="H20" s="12">
        <v>0.02</v>
      </c>
      <c r="J20" s="11" t="s">
        <v>54</v>
      </c>
      <c r="K20" s="12">
        <v>0.02</v>
      </c>
    </row>
    <row r="21" spans="1:11" x14ac:dyDescent="0.45">
      <c r="A21" s="9" t="s">
        <v>49</v>
      </c>
      <c r="B21" s="10">
        <v>0.25</v>
      </c>
      <c r="C21" s="3"/>
      <c r="D21" s="11" t="s">
        <v>55</v>
      </c>
      <c r="E21" s="12">
        <f>SUM(B20:B24)-SUM(E19:E20)</f>
        <v>1.7243859649122806</v>
      </c>
      <c r="G21" s="11" t="s">
        <v>55</v>
      </c>
      <c r="H21" s="12">
        <f>SUM(B20:B24)-SUM(H19:H20)</f>
        <v>0.98</v>
      </c>
      <c r="J21" s="11" t="s">
        <v>55</v>
      </c>
      <c r="K21" s="12">
        <f>SUM(B20:B24)-SUM(K19:K20)</f>
        <v>1.6936752136752138</v>
      </c>
    </row>
    <row r="22" spans="1:11" x14ac:dyDescent="0.45">
      <c r="A22" s="9" t="s">
        <v>50</v>
      </c>
      <c r="B22" s="10">
        <v>0.5</v>
      </c>
      <c r="C22" s="3"/>
    </row>
    <row r="23" spans="1:11" x14ac:dyDescent="0.45">
      <c r="A23" s="9" t="s">
        <v>51</v>
      </c>
      <c r="B23" s="10">
        <v>0.25</v>
      </c>
    </row>
    <row r="24" spans="1:11" x14ac:dyDescent="0.45">
      <c r="A24" s="9" t="s">
        <v>52</v>
      </c>
      <c r="B24" s="10">
        <v>1</v>
      </c>
    </row>
  </sheetData>
  <mergeCells count="1">
    <mergeCell ref="A18:B18"/>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F1697-0962-4E93-B6DF-8B5DA8B90D62}">
  <dimension ref="A3:E22"/>
  <sheetViews>
    <sheetView workbookViewId="0">
      <selection activeCell="D19" sqref="D19"/>
    </sheetView>
  </sheetViews>
  <sheetFormatPr defaultRowHeight="14.25" x14ac:dyDescent="0.45"/>
  <cols>
    <col min="1" max="1" width="14.53125" bestFit="1" customWidth="1"/>
    <col min="2" max="2" width="17.86328125" bestFit="1" customWidth="1"/>
    <col min="3" max="3" width="16.59765625" bestFit="1" customWidth="1"/>
    <col min="4" max="4" width="20.06640625" bestFit="1" customWidth="1"/>
    <col min="5" max="5" width="16" style="5" bestFit="1" customWidth="1"/>
  </cols>
  <sheetData>
    <row r="3" spans="1:2" x14ac:dyDescent="0.45">
      <c r="A3" s="1" t="s">
        <v>40</v>
      </c>
      <c r="B3" t="s">
        <v>35</v>
      </c>
    </row>
    <row r="4" spans="1:2" x14ac:dyDescent="0.45">
      <c r="A4" s="2" t="s">
        <v>42</v>
      </c>
      <c r="B4" s="17">
        <v>147</v>
      </c>
    </row>
    <row r="5" spans="1:2" x14ac:dyDescent="0.45">
      <c r="A5" s="2" t="s">
        <v>43</v>
      </c>
      <c r="B5" s="17">
        <v>47</v>
      </c>
    </row>
    <row r="6" spans="1:2" x14ac:dyDescent="0.45">
      <c r="A6" s="2" t="s">
        <v>44</v>
      </c>
      <c r="B6" s="17">
        <v>156</v>
      </c>
    </row>
    <row r="21" spans="3:3" x14ac:dyDescent="0.45">
      <c r="C21" s="3"/>
    </row>
    <row r="22" spans="3:3" x14ac:dyDescent="0.45">
      <c r="C22" s="3"/>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50AE-F466-4859-9C95-874BBDB58D9B}">
  <dimension ref="A3:E22"/>
  <sheetViews>
    <sheetView workbookViewId="0">
      <selection activeCell="K23" sqref="K23"/>
    </sheetView>
  </sheetViews>
  <sheetFormatPr defaultRowHeight="14.25" x14ac:dyDescent="0.45"/>
  <cols>
    <col min="1" max="1" width="11.06640625" bestFit="1" customWidth="1"/>
    <col min="2" max="2" width="16" bestFit="1" customWidth="1"/>
    <col min="3" max="3" width="16.59765625" bestFit="1" customWidth="1"/>
    <col min="4" max="4" width="20.06640625" bestFit="1" customWidth="1"/>
    <col min="5" max="5" width="16" style="5" bestFit="1" customWidth="1"/>
  </cols>
  <sheetData>
    <row r="3" spans="1:3" x14ac:dyDescent="0.45">
      <c r="A3" s="1" t="s">
        <v>40</v>
      </c>
      <c r="B3" t="s">
        <v>37</v>
      </c>
    </row>
    <row r="4" spans="1:3" x14ac:dyDescent="0.45">
      <c r="A4" s="2" t="s">
        <v>22</v>
      </c>
      <c r="B4" s="6">
        <v>84666.800000000017</v>
      </c>
      <c r="C4" s="7"/>
    </row>
    <row r="5" spans="1:3" x14ac:dyDescent="0.45">
      <c r="A5" s="2" t="s">
        <v>12</v>
      </c>
      <c r="B5" s="6">
        <v>68737.10000000002</v>
      </c>
      <c r="C5" s="7"/>
    </row>
    <row r="6" spans="1:3" x14ac:dyDescent="0.45">
      <c r="A6" s="2" t="s">
        <v>16</v>
      </c>
      <c r="B6" s="6">
        <v>47524</v>
      </c>
      <c r="C6" s="7"/>
    </row>
    <row r="7" spans="1:3" x14ac:dyDescent="0.45">
      <c r="A7" s="2" t="s">
        <v>23</v>
      </c>
      <c r="B7" s="6">
        <v>40042.60000000002</v>
      </c>
      <c r="C7" s="7"/>
    </row>
    <row r="8" spans="1:3" x14ac:dyDescent="0.45">
      <c r="A8" s="2" t="s">
        <v>19</v>
      </c>
      <c r="B8" s="6">
        <v>28993.200000000001</v>
      </c>
      <c r="C8" s="7"/>
    </row>
    <row r="9" spans="1:3" x14ac:dyDescent="0.45">
      <c r="A9" s="2" t="s">
        <v>24</v>
      </c>
      <c r="B9" s="6">
        <v>25919.899999999987</v>
      </c>
      <c r="C9" s="7"/>
    </row>
    <row r="13" spans="1:3" x14ac:dyDescent="0.45">
      <c r="A13" s="1" t="s">
        <v>40</v>
      </c>
      <c r="B13" t="s">
        <v>37</v>
      </c>
    </row>
    <row r="14" spans="1:3" x14ac:dyDescent="0.45">
      <c r="A14" s="2" t="s">
        <v>58</v>
      </c>
      <c r="B14" s="6">
        <v>158110.69999999995</v>
      </c>
      <c r="C14" s="14"/>
    </row>
    <row r="15" spans="1:3" x14ac:dyDescent="0.45">
      <c r="A15" s="2" t="s">
        <v>59</v>
      </c>
      <c r="B15" s="6">
        <v>137772.90000000008</v>
      </c>
      <c r="C15" s="14"/>
    </row>
    <row r="16" spans="1:3" x14ac:dyDescent="0.45">
      <c r="C16" s="7"/>
    </row>
    <row r="17" spans="1:3" x14ac:dyDescent="0.45">
      <c r="A17" t="str" cm="1">
        <f t="array" ref="A17:B19">A13:B15</f>
        <v>Avg Rating</v>
      </c>
      <c r="B17" t="str">
        <v>Sum of Total Spend</v>
      </c>
      <c r="C17" s="7" t="s">
        <v>33</v>
      </c>
    </row>
    <row r="18" spans="1:3" x14ac:dyDescent="0.45">
      <c r="A18" t="str">
        <v>No</v>
      </c>
      <c r="B18" s="5">
        <v>158110.69999999995</v>
      </c>
      <c r="C18" s="5">
        <f>SUM(B18:B19)</f>
        <v>295883.60000000003</v>
      </c>
    </row>
    <row r="19" spans="1:3" x14ac:dyDescent="0.45">
      <c r="A19" t="str">
        <v>Yes</v>
      </c>
      <c r="B19" s="5">
        <v>137772.90000000008</v>
      </c>
      <c r="C19" s="5">
        <f>SUM(B18:B19)</f>
        <v>295883.60000000003</v>
      </c>
    </row>
    <row r="21" spans="1:3" x14ac:dyDescent="0.45">
      <c r="C21" s="3"/>
    </row>
    <row r="22" spans="1:3" x14ac:dyDescent="0.45">
      <c r="C22" s="3"/>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161B8-0C27-43D5-A607-27A5D9764278}">
  <dimension ref="A3:E23"/>
  <sheetViews>
    <sheetView topLeftCell="A3" workbookViewId="0">
      <selection activeCell="K13" sqref="K13"/>
    </sheetView>
  </sheetViews>
  <sheetFormatPr defaultRowHeight="14.25" x14ac:dyDescent="0.45"/>
  <cols>
    <col min="1" max="1" width="11.06640625" bestFit="1" customWidth="1"/>
    <col min="2" max="2" width="16" bestFit="1" customWidth="1"/>
    <col min="3" max="3" width="4.73046875" bestFit="1" customWidth="1"/>
    <col min="4" max="4" width="20.06640625" bestFit="1" customWidth="1"/>
    <col min="5" max="5" width="16" style="5" bestFit="1" customWidth="1"/>
  </cols>
  <sheetData>
    <row r="3" spans="1:2" x14ac:dyDescent="0.45">
      <c r="A3" s="1" t="s">
        <v>40</v>
      </c>
      <c r="B3" t="s">
        <v>37</v>
      </c>
    </row>
    <row r="4" spans="1:2" x14ac:dyDescent="0.45">
      <c r="A4" s="2">
        <v>3</v>
      </c>
      <c r="B4" s="4">
        <v>5626.4</v>
      </c>
    </row>
    <row r="5" spans="1:2" x14ac:dyDescent="0.45">
      <c r="A5" s="2">
        <v>3.1</v>
      </c>
      <c r="B5" s="4">
        <v>7580</v>
      </c>
    </row>
    <row r="6" spans="1:2" x14ac:dyDescent="0.45">
      <c r="A6" s="2">
        <v>3.2</v>
      </c>
      <c r="B6" s="4">
        <v>4458.5</v>
      </c>
    </row>
    <row r="7" spans="1:2" x14ac:dyDescent="0.45">
      <c r="A7" s="2">
        <v>3.3</v>
      </c>
      <c r="B7" s="4">
        <v>12638.6</v>
      </c>
    </row>
    <row r="8" spans="1:2" x14ac:dyDescent="0.45">
      <c r="A8" s="2">
        <v>3.4</v>
      </c>
      <c r="B8" s="4">
        <v>8315.1500000000015</v>
      </c>
    </row>
    <row r="9" spans="1:2" x14ac:dyDescent="0.45">
      <c r="A9" s="2">
        <v>3.5</v>
      </c>
      <c r="B9" s="4">
        <v>4668.45</v>
      </c>
    </row>
    <row r="10" spans="1:2" x14ac:dyDescent="0.45">
      <c r="A10" s="2">
        <v>3.6</v>
      </c>
      <c r="B10" s="4">
        <v>11626</v>
      </c>
    </row>
    <row r="11" spans="1:2" x14ac:dyDescent="0.45">
      <c r="A11" s="2">
        <v>3.7</v>
      </c>
      <c r="B11" s="4">
        <v>700.6</v>
      </c>
    </row>
    <row r="12" spans="1:2" x14ac:dyDescent="0.45">
      <c r="A12" s="2">
        <v>3.8</v>
      </c>
      <c r="B12" s="4">
        <v>16117.199999999993</v>
      </c>
    </row>
    <row r="13" spans="1:2" x14ac:dyDescent="0.45">
      <c r="A13" s="2">
        <v>3.9</v>
      </c>
      <c r="B13" s="4">
        <v>5504.8000000000011</v>
      </c>
    </row>
    <row r="14" spans="1:2" x14ac:dyDescent="0.45">
      <c r="A14" s="2">
        <v>4</v>
      </c>
      <c r="B14" s="4">
        <v>13595.2</v>
      </c>
    </row>
    <row r="15" spans="1:2" x14ac:dyDescent="0.45">
      <c r="A15" s="2">
        <v>4.0999999999999996</v>
      </c>
      <c r="B15" s="4">
        <v>25553.300000000014</v>
      </c>
    </row>
    <row r="16" spans="1:2" x14ac:dyDescent="0.45">
      <c r="A16" s="2">
        <v>4.2</v>
      </c>
      <c r="B16" s="4">
        <v>9727.65</v>
      </c>
    </row>
    <row r="17" spans="1:3" x14ac:dyDescent="0.45">
      <c r="A17" s="2">
        <v>4.3</v>
      </c>
      <c r="B17" s="4">
        <v>16747.899999999994</v>
      </c>
    </row>
    <row r="18" spans="1:3" x14ac:dyDescent="0.45">
      <c r="A18" s="2">
        <v>4.4000000000000004</v>
      </c>
      <c r="B18" s="4">
        <v>8942.85</v>
      </c>
    </row>
    <row r="19" spans="1:3" x14ac:dyDescent="0.45">
      <c r="A19" s="2">
        <v>4.5</v>
      </c>
      <c r="B19" s="4">
        <v>35970.499999999985</v>
      </c>
    </row>
    <row r="20" spans="1:3" x14ac:dyDescent="0.45">
      <c r="A20" s="2">
        <v>4.5999999999999996</v>
      </c>
      <c r="B20" s="4">
        <v>14036</v>
      </c>
    </row>
    <row r="21" spans="1:3" x14ac:dyDescent="0.45">
      <c r="A21" s="2">
        <v>4.7</v>
      </c>
      <c r="B21" s="4">
        <v>27871.8</v>
      </c>
      <c r="C21" s="3"/>
    </row>
    <row r="22" spans="1:3" x14ac:dyDescent="0.45">
      <c r="A22" s="2">
        <v>4.8</v>
      </c>
      <c r="B22" s="4">
        <v>30550.199999999997</v>
      </c>
      <c r="C22" s="3"/>
    </row>
    <row r="23" spans="1:3" x14ac:dyDescent="0.45">
      <c r="A23" s="2">
        <v>4.9000000000000004</v>
      </c>
      <c r="B23" s="4">
        <v>35652.499999999985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A2DC0-0055-47CD-925D-FC73C40D1A5D}">
  <dimension ref="A3:E16"/>
  <sheetViews>
    <sheetView workbookViewId="0">
      <selection activeCell="L48" sqref="L48"/>
    </sheetView>
  </sheetViews>
  <sheetFormatPr defaultRowHeight="14.25" x14ac:dyDescent="0.45"/>
  <cols>
    <col min="1" max="1" width="20.06640625" bestFit="1" customWidth="1"/>
    <col min="2" max="2" width="14.73046875" bestFit="1" customWidth="1"/>
    <col min="3" max="3" width="4.73046875" bestFit="1" customWidth="1"/>
    <col min="4" max="4" width="20.06640625" bestFit="1" customWidth="1"/>
    <col min="5" max="5" width="16" bestFit="1" customWidth="1"/>
  </cols>
  <sheetData>
    <row r="3" spans="1:5" x14ac:dyDescent="0.45">
      <c r="A3" s="1" t="s">
        <v>36</v>
      </c>
      <c r="B3" s="1" t="s">
        <v>34</v>
      </c>
    </row>
    <row r="4" spans="1:5" x14ac:dyDescent="0.45">
      <c r="A4" s="1" t="s">
        <v>28</v>
      </c>
      <c r="B4" t="s">
        <v>11</v>
      </c>
      <c r="C4" t="s">
        <v>15</v>
      </c>
    </row>
    <row r="5" spans="1:5" x14ac:dyDescent="0.45">
      <c r="A5" s="2" t="s">
        <v>29</v>
      </c>
      <c r="B5" s="17">
        <v>28</v>
      </c>
      <c r="C5" s="17">
        <v>1097</v>
      </c>
    </row>
    <row r="6" spans="1:5" x14ac:dyDescent="0.45">
      <c r="A6" s="2" t="s">
        <v>30</v>
      </c>
      <c r="B6" s="17">
        <v>877</v>
      </c>
      <c r="C6" s="17">
        <v>1411</v>
      </c>
    </row>
    <row r="7" spans="1:5" x14ac:dyDescent="0.45">
      <c r="A7" s="2" t="s">
        <v>31</v>
      </c>
      <c r="B7" s="17">
        <v>649</v>
      </c>
      <c r="C7" s="17">
        <v>19</v>
      </c>
    </row>
    <row r="8" spans="1:5" x14ac:dyDescent="0.45">
      <c r="A8" s="2" t="s">
        <v>32</v>
      </c>
      <c r="B8" s="17">
        <v>329</v>
      </c>
      <c r="C8" s="17"/>
    </row>
    <row r="10" spans="1:5" x14ac:dyDescent="0.45">
      <c r="A10" s="2"/>
      <c r="C10" s="3"/>
      <c r="E10" s="3"/>
    </row>
    <row r="11" spans="1:5" x14ac:dyDescent="0.45">
      <c r="A11" t="s">
        <v>2</v>
      </c>
      <c r="B11" t="s">
        <v>38</v>
      </c>
      <c r="C11" t="s">
        <v>39</v>
      </c>
      <c r="E11" s="3"/>
    </row>
    <row r="12" spans="1:5" x14ac:dyDescent="0.45">
      <c r="A12" s="2"/>
      <c r="C12" s="3"/>
      <c r="E12" s="3"/>
    </row>
    <row r="13" spans="1:5" x14ac:dyDescent="0.45">
      <c r="A13" t="str">
        <f>IF(A5=0,"",A5)</f>
        <v>24-29</v>
      </c>
      <c r="B13" cm="1">
        <f t="array" ref="B13:C16">B5:C8</f>
        <v>28</v>
      </c>
      <c r="C13">
        <v>1097</v>
      </c>
    </row>
    <row r="14" spans="1:5" x14ac:dyDescent="0.45">
      <c r="A14" t="str">
        <f t="shared" ref="A14:A16" si="0">IF(A6=0,"",A6)</f>
        <v>30-35</v>
      </c>
      <c r="B14">
        <v>877</v>
      </c>
      <c r="C14">
        <v>1411</v>
      </c>
    </row>
    <row r="15" spans="1:5" x14ac:dyDescent="0.45">
      <c r="A15" t="str">
        <f t="shared" si="0"/>
        <v>36-41</v>
      </c>
      <c r="B15">
        <v>649</v>
      </c>
      <c r="C15">
        <v>19</v>
      </c>
    </row>
    <row r="16" spans="1:5" x14ac:dyDescent="0.45">
      <c r="A16" t="str">
        <f t="shared" si="0"/>
        <v>Over 41</v>
      </c>
      <c r="B16">
        <v>329</v>
      </c>
      <c r="C16">
        <v>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FB66-2C72-417E-8980-561BD94E7996}">
  <dimension ref="A3:B6"/>
  <sheetViews>
    <sheetView workbookViewId="0">
      <selection activeCell="P54" sqref="P54"/>
    </sheetView>
  </sheetViews>
  <sheetFormatPr defaultRowHeight="14.25" x14ac:dyDescent="0.45"/>
  <cols>
    <col min="1" max="1" width="11.9296875" bestFit="1" customWidth="1"/>
    <col min="2" max="2" width="17.86328125" bestFit="1" customWidth="1"/>
  </cols>
  <sheetData>
    <row r="3" spans="1:2" x14ac:dyDescent="0.45">
      <c r="A3" s="1" t="s">
        <v>28</v>
      </c>
      <c r="B3" t="s">
        <v>35</v>
      </c>
    </row>
    <row r="4" spans="1:2" x14ac:dyDescent="0.45">
      <c r="A4" s="2" t="s">
        <v>11</v>
      </c>
      <c r="B4" s="17">
        <v>175</v>
      </c>
    </row>
    <row r="5" spans="1:2" x14ac:dyDescent="0.45">
      <c r="A5" s="2" t="s">
        <v>15</v>
      </c>
      <c r="B5" s="17">
        <v>175</v>
      </c>
    </row>
    <row r="6" spans="1:2" x14ac:dyDescent="0.45">
      <c r="A6" s="2" t="s">
        <v>33</v>
      </c>
      <c r="B6" s="17">
        <v>350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5B6F2-404B-44E5-BF14-AC05A661AD27}">
  <dimension ref="A3:B5"/>
  <sheetViews>
    <sheetView workbookViewId="0">
      <selection activeCell="A3" sqref="A3"/>
    </sheetView>
  </sheetViews>
  <sheetFormatPr defaultRowHeight="14.25" x14ac:dyDescent="0.45"/>
  <cols>
    <col min="1" max="1" width="11.9296875" bestFit="1" customWidth="1"/>
    <col min="2" max="2" width="16" bestFit="1" customWidth="1"/>
  </cols>
  <sheetData>
    <row r="3" spans="1:2" x14ac:dyDescent="0.45">
      <c r="A3" s="1" t="s">
        <v>28</v>
      </c>
      <c r="B3" t="s">
        <v>37</v>
      </c>
    </row>
    <row r="4" spans="1:2" x14ac:dyDescent="0.45">
      <c r="A4" s="2" t="s">
        <v>22</v>
      </c>
      <c r="B4" s="3">
        <v>84666.800000000017</v>
      </c>
    </row>
    <row r="5" spans="1:2" x14ac:dyDescent="0.45">
      <c r="A5" s="2" t="s">
        <v>33</v>
      </c>
      <c r="B5" s="3">
        <v>84666.800000000017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0DF23-5AB4-47C9-8CD0-206CF56274AD}">
  <dimension ref="A3:B5"/>
  <sheetViews>
    <sheetView workbookViewId="0">
      <selection activeCell="A4" sqref="A4"/>
    </sheetView>
  </sheetViews>
  <sheetFormatPr defaultRowHeight="14.25" x14ac:dyDescent="0.45"/>
  <cols>
    <col min="1" max="1" width="11.9296875" bestFit="1" customWidth="1"/>
    <col min="2" max="2" width="16" bestFit="1" customWidth="1"/>
  </cols>
  <sheetData>
    <row r="3" spans="1:2" x14ac:dyDescent="0.45">
      <c r="A3" s="1" t="s">
        <v>28</v>
      </c>
      <c r="B3" t="s">
        <v>37</v>
      </c>
    </row>
    <row r="4" spans="1:2" x14ac:dyDescent="0.45">
      <c r="A4" s="2" t="s">
        <v>30</v>
      </c>
      <c r="B4" s="3">
        <v>166019.6</v>
      </c>
    </row>
    <row r="5" spans="1:2" x14ac:dyDescent="0.45">
      <c r="A5" s="2" t="s">
        <v>33</v>
      </c>
      <c r="B5" s="3">
        <v>166019.6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78AD9-E08B-449C-91FB-D91D4A40B319}">
  <dimension ref="A3:A4"/>
  <sheetViews>
    <sheetView workbookViewId="0">
      <selection activeCell="A4" sqref="A4"/>
    </sheetView>
  </sheetViews>
  <sheetFormatPr defaultRowHeight="14.25" x14ac:dyDescent="0.45"/>
  <cols>
    <col min="1" max="2" width="17.86328125" bestFit="1" customWidth="1"/>
  </cols>
  <sheetData>
    <row r="3" spans="1:1" x14ac:dyDescent="0.45">
      <c r="A3" t="s">
        <v>35</v>
      </c>
    </row>
    <row r="4" spans="1:1" x14ac:dyDescent="0.45">
      <c r="A4" s="17">
        <v>350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76672-EF88-4172-A41D-2745E74A2786}">
  <dimension ref="A1:O351"/>
  <sheetViews>
    <sheetView tabSelected="1" topLeftCell="A2" workbookViewId="0">
      <selection activeCell="G23" sqref="G23"/>
    </sheetView>
  </sheetViews>
  <sheetFormatPr defaultRowHeight="14.25" x14ac:dyDescent="0.45"/>
  <cols>
    <col min="1" max="1" width="12.53125" customWidth="1"/>
    <col min="5" max="5" width="16.59765625" customWidth="1"/>
    <col min="6" max="6" width="11.9296875" customWidth="1"/>
    <col min="7" max="7" width="15.9296875" customWidth="1"/>
    <col min="8" max="8" width="14.33203125" customWidth="1"/>
    <col min="9" max="9" width="16.06640625" customWidth="1"/>
    <col min="10" max="10" width="22.6640625" customWidth="1"/>
    <col min="11" max="11" width="16.6640625" customWidth="1"/>
    <col min="12" max="12" width="16.796875" bestFit="1" customWidth="1"/>
    <col min="14" max="14" width="14.53125" bestFit="1" customWidth="1"/>
  </cols>
  <sheetData>
    <row r="1" spans="1:15" x14ac:dyDescent="0.45">
      <c r="A1" t="s">
        <v>0</v>
      </c>
      <c r="B1" t="s">
        <v>1</v>
      </c>
      <c r="C1" t="s">
        <v>2</v>
      </c>
      <c r="D1" t="s">
        <v>3</v>
      </c>
      <c r="E1" t="s">
        <v>4</v>
      </c>
      <c r="F1" t="s">
        <v>5</v>
      </c>
      <c r="G1" t="s">
        <v>6</v>
      </c>
      <c r="H1" t="s">
        <v>7</v>
      </c>
      <c r="I1" t="s">
        <v>8</v>
      </c>
      <c r="J1" t="s">
        <v>9</v>
      </c>
      <c r="K1" t="s">
        <v>10</v>
      </c>
      <c r="L1" t="s">
        <v>26</v>
      </c>
      <c r="M1" t="s">
        <v>27</v>
      </c>
      <c r="N1" t="s">
        <v>41</v>
      </c>
      <c r="O1" t="s">
        <v>56</v>
      </c>
    </row>
    <row r="2" spans="1:15" x14ac:dyDescent="0.45">
      <c r="A2">
        <v>101</v>
      </c>
      <c r="B2" t="s">
        <v>11</v>
      </c>
      <c r="C2">
        <v>29</v>
      </c>
      <c r="D2" t="s">
        <v>12</v>
      </c>
      <c r="E2" t="s">
        <v>13</v>
      </c>
      <c r="F2">
        <v>1120.2</v>
      </c>
      <c r="G2">
        <v>14</v>
      </c>
      <c r="H2">
        <v>4.5999999999999996</v>
      </c>
      <c r="I2" t="b">
        <v>1</v>
      </c>
      <c r="J2">
        <v>25</v>
      </c>
      <c r="K2" t="s">
        <v>14</v>
      </c>
      <c r="L2" t="str" cm="1">
        <f t="array" ref="L2">_xlfn.IFS(Table1[[#This Row],[Discount Applied]]=TRUE,"Yes",Table1[[#This Row],[Discount Applied]]=FALSE,"No")</f>
        <v>Yes</v>
      </c>
      <c r="M2" t="str" cm="1">
        <f t="array" ref="M2">_xlfn.IFS(Table1[[#This Row],[Age]]&lt;18,"Under 18",Table1[[#This Row],[Age]]&lt;=23,"18-23",Table1[[#This Row],[Age]]&lt;=29,"24-29",Table1[[#This Row],[Age]]&lt;=35,"30-35",Table1[[#This Row],[Age]]&lt;=41,"36-41",Table1[[#This Row],[Age]]&gt;41,"Over 41")</f>
        <v>24-29</v>
      </c>
      <c r="N2" t="str" cm="1">
        <f t="array" ref="N2">_xlfn.IFS(Table1[[#This Row],[Days Since Last Purchase]]&lt;21,"Active",Table1[[#This Row],[Days Since Last Purchase]]&lt;=42,"Moderately Active",Table1[[#This Row],[Days Since Last Purchase]]&gt;=43, "Inactive")</f>
        <v>Moderately Active</v>
      </c>
      <c r="O2">
        <f>IF(K2="Satisfied",1,IF(K2="Neutral",0.5,IF(K2="Unsatisfied",0,IF(Table1[[#This Row],[Satisfaction Level]]="No Response","0"))))</f>
        <v>1</v>
      </c>
    </row>
    <row r="3" spans="1:15" x14ac:dyDescent="0.45">
      <c r="A3">
        <v>102</v>
      </c>
      <c r="B3" t="s">
        <v>15</v>
      </c>
      <c r="C3">
        <v>34</v>
      </c>
      <c r="D3" t="s">
        <v>16</v>
      </c>
      <c r="E3" t="s">
        <v>17</v>
      </c>
      <c r="F3">
        <v>780.5</v>
      </c>
      <c r="G3">
        <v>11</v>
      </c>
      <c r="H3">
        <v>4.0999999999999996</v>
      </c>
      <c r="I3" t="b">
        <v>0</v>
      </c>
      <c r="J3">
        <v>18</v>
      </c>
      <c r="K3" t="s">
        <v>18</v>
      </c>
      <c r="L3" t="str" cm="1">
        <f t="array" ref="L3">_xlfn.IFS(Table1[[#This Row],[Discount Applied]]=TRUE,"Yes",Table1[[#This Row],[Discount Applied]]=FALSE,"No")</f>
        <v>No</v>
      </c>
      <c r="M3" t="str" cm="1">
        <f t="array" ref="M3">_xlfn.IFS(Table1[[#This Row],[Age]]&lt;18,"Under 18",Table1[[#This Row],[Age]]&lt;=23,"18-23",Table1[[#This Row],[Age]]&lt;=29,"24-29",Table1[[#This Row],[Age]]&lt;=35,"30-35",Table1[[#This Row],[Age]]&lt;=41,"36-41",Table1[[#This Row],[Age]]&gt;41,"Over 41")</f>
        <v>30-35</v>
      </c>
      <c r="N3" t="str" cm="1">
        <f t="array" ref="N3">_xlfn.IFS(Table1[[#This Row],[Days Since Last Purchase]]&lt;21,"Active",Table1[[#This Row],[Days Since Last Purchase]]&lt;=42,"Moderately Active",Table1[[#This Row],[Days Since Last Purchase]]&gt;=43, "Inactive")</f>
        <v>Active</v>
      </c>
      <c r="O3">
        <f>IF(K3="Satisfied",1,IF(K3="Neutral",0.5,IF(K3="Unsatisfied",0,IF(Table1[[#This Row],[Satisfaction Level]]="No Response","0"))))</f>
        <v>0.5</v>
      </c>
    </row>
    <row r="4" spans="1:15" x14ac:dyDescent="0.45">
      <c r="A4">
        <v>103</v>
      </c>
      <c r="B4" t="s">
        <v>11</v>
      </c>
      <c r="C4">
        <v>43</v>
      </c>
      <c r="D4" t="s">
        <v>19</v>
      </c>
      <c r="E4" t="s">
        <v>20</v>
      </c>
      <c r="F4">
        <v>510.75</v>
      </c>
      <c r="G4">
        <v>9</v>
      </c>
      <c r="H4">
        <v>3.4</v>
      </c>
      <c r="I4" t="b">
        <v>1</v>
      </c>
      <c r="J4">
        <v>42</v>
      </c>
      <c r="K4" t="s">
        <v>21</v>
      </c>
      <c r="L4" t="str" cm="1">
        <f t="array" ref="L4">_xlfn.IFS(Table1[[#This Row],[Discount Applied]]=TRUE,"Yes",Table1[[#This Row],[Discount Applied]]=FALSE,"No")</f>
        <v>Yes</v>
      </c>
      <c r="M4" t="str" cm="1">
        <f t="array" ref="M4">_xlfn.IFS(Table1[[#This Row],[Age]]&lt;18,"Under 18",Table1[[#This Row],[Age]]&lt;=23,"18-23",Table1[[#This Row],[Age]]&lt;=29,"24-29",Table1[[#This Row],[Age]]&lt;=35,"30-35",Table1[[#This Row],[Age]]&lt;=41,"36-41",Table1[[#This Row],[Age]]&gt;41,"Over 41")</f>
        <v>Over 41</v>
      </c>
      <c r="N4" t="str" cm="1">
        <f t="array" ref="N4">_xlfn.IFS(Table1[[#This Row],[Days Since Last Purchase]]&lt;21,"Active",Table1[[#This Row],[Days Since Last Purchase]]&lt;=42,"Moderately Active",Table1[[#This Row],[Days Since Last Purchase]]&gt;=43, "Inactive")</f>
        <v>Moderately Active</v>
      </c>
      <c r="O4">
        <f>IF(K4="Satisfied",1,IF(K4="Neutral",0.5,IF(K4="Unsatisfied",0,IF(Table1[[#This Row],[Satisfaction Level]]="No Response","0"))))</f>
        <v>0</v>
      </c>
    </row>
    <row r="5" spans="1:15" x14ac:dyDescent="0.45">
      <c r="A5">
        <v>104</v>
      </c>
      <c r="B5" t="s">
        <v>15</v>
      </c>
      <c r="C5">
        <v>30</v>
      </c>
      <c r="D5" t="s">
        <v>22</v>
      </c>
      <c r="E5" t="s">
        <v>13</v>
      </c>
      <c r="F5">
        <v>1480.3</v>
      </c>
      <c r="G5">
        <v>19</v>
      </c>
      <c r="H5">
        <v>4.7</v>
      </c>
      <c r="I5" t="b">
        <v>0</v>
      </c>
      <c r="J5">
        <v>12</v>
      </c>
      <c r="K5" t="s">
        <v>14</v>
      </c>
      <c r="L5" t="str" cm="1">
        <f t="array" ref="L5">_xlfn.IFS(Table1[[#This Row],[Discount Applied]]=TRUE,"Yes",Table1[[#This Row],[Discount Applied]]=FALSE,"No")</f>
        <v>No</v>
      </c>
      <c r="M5" t="str" cm="1">
        <f t="array" ref="M5">_xlfn.IFS(Table1[[#This Row],[Age]]&lt;18,"Under 18",Table1[[#This Row],[Age]]&lt;=23,"18-23",Table1[[#This Row],[Age]]&lt;=29,"24-29",Table1[[#This Row],[Age]]&lt;=35,"30-35",Table1[[#This Row],[Age]]&lt;=41,"36-41",Table1[[#This Row],[Age]]&gt;41,"Over 41")</f>
        <v>30-35</v>
      </c>
      <c r="N5" t="str" cm="1">
        <f t="array" ref="N5">_xlfn.IFS(Table1[[#This Row],[Days Since Last Purchase]]&lt;21,"Active",Table1[[#This Row],[Days Since Last Purchase]]&lt;=42,"Moderately Active",Table1[[#This Row],[Days Since Last Purchase]]&gt;=43, "Inactive")</f>
        <v>Active</v>
      </c>
      <c r="O5">
        <f>IF(K5="Satisfied",1,IF(K5="Neutral",0.5,IF(K5="Unsatisfied",0,IF(Table1[[#This Row],[Satisfaction Level]]="No Response","0"))))</f>
        <v>1</v>
      </c>
    </row>
    <row r="6" spans="1:15" x14ac:dyDescent="0.45">
      <c r="A6">
        <v>105</v>
      </c>
      <c r="B6" t="s">
        <v>15</v>
      </c>
      <c r="C6">
        <v>27</v>
      </c>
      <c r="D6" t="s">
        <v>23</v>
      </c>
      <c r="E6" t="s">
        <v>17</v>
      </c>
      <c r="F6">
        <v>720.4</v>
      </c>
      <c r="G6">
        <v>13</v>
      </c>
      <c r="H6">
        <v>4</v>
      </c>
      <c r="I6" t="b">
        <v>1</v>
      </c>
      <c r="J6">
        <v>55</v>
      </c>
      <c r="K6" t="s">
        <v>21</v>
      </c>
      <c r="L6" t="str" cm="1">
        <f t="array" ref="L6">_xlfn.IFS(Table1[[#This Row],[Discount Applied]]=TRUE,"Yes",Table1[[#This Row],[Discount Applied]]=FALSE,"No")</f>
        <v>Yes</v>
      </c>
      <c r="M6" t="str" cm="1">
        <f t="array" ref="M6">_xlfn.IFS(Table1[[#This Row],[Age]]&lt;18,"Under 18",Table1[[#This Row],[Age]]&lt;=23,"18-23",Table1[[#This Row],[Age]]&lt;=29,"24-29",Table1[[#This Row],[Age]]&lt;=35,"30-35",Table1[[#This Row],[Age]]&lt;=41,"36-41",Table1[[#This Row],[Age]]&gt;41,"Over 41")</f>
        <v>24-29</v>
      </c>
      <c r="N6" t="str" cm="1">
        <f t="array" ref="N6">_xlfn.IFS(Table1[[#This Row],[Days Since Last Purchase]]&lt;21,"Active",Table1[[#This Row],[Days Since Last Purchase]]&lt;=42,"Moderately Active",Table1[[#This Row],[Days Since Last Purchase]]&gt;=43, "Inactive")</f>
        <v>Inactive</v>
      </c>
      <c r="O6">
        <f>IF(K6="Satisfied",1,IF(K6="Neutral",0.5,IF(K6="Unsatisfied",0,IF(Table1[[#This Row],[Satisfaction Level]]="No Response","0"))))</f>
        <v>0</v>
      </c>
    </row>
    <row r="7" spans="1:15" x14ac:dyDescent="0.45">
      <c r="A7">
        <v>106</v>
      </c>
      <c r="B7" t="s">
        <v>11</v>
      </c>
      <c r="C7">
        <v>37</v>
      </c>
      <c r="D7" t="s">
        <v>24</v>
      </c>
      <c r="E7" t="s">
        <v>20</v>
      </c>
      <c r="F7">
        <v>440.8</v>
      </c>
      <c r="G7">
        <v>8</v>
      </c>
      <c r="H7">
        <v>3.1</v>
      </c>
      <c r="I7" t="b">
        <v>0</v>
      </c>
      <c r="J7">
        <v>22</v>
      </c>
      <c r="K7" t="s">
        <v>18</v>
      </c>
      <c r="L7" t="str" cm="1">
        <f t="array" ref="L7">_xlfn.IFS(Table1[[#This Row],[Discount Applied]]=TRUE,"Yes",Table1[[#This Row],[Discount Applied]]=FALSE,"No")</f>
        <v>No</v>
      </c>
      <c r="M7" t="str" cm="1">
        <f t="array" ref="M7">_xlfn.IFS(Table1[[#This Row],[Age]]&lt;18,"Under 18",Table1[[#This Row],[Age]]&lt;=23,"18-23",Table1[[#This Row],[Age]]&lt;=29,"24-29",Table1[[#This Row],[Age]]&lt;=35,"30-35",Table1[[#This Row],[Age]]&lt;=41,"36-41",Table1[[#This Row],[Age]]&gt;41,"Over 41")</f>
        <v>36-41</v>
      </c>
      <c r="N7" t="str" cm="1">
        <f t="array" ref="N7">_xlfn.IFS(Table1[[#This Row],[Days Since Last Purchase]]&lt;21,"Active",Table1[[#This Row],[Days Since Last Purchase]]&lt;=42,"Moderately Active",Table1[[#This Row],[Days Since Last Purchase]]&gt;=43, "Inactive")</f>
        <v>Moderately Active</v>
      </c>
      <c r="O7">
        <f>IF(K7="Satisfied",1,IF(K7="Neutral",0.5,IF(K7="Unsatisfied",0,IF(Table1[[#This Row],[Satisfaction Level]]="No Response","0"))))</f>
        <v>0.5</v>
      </c>
    </row>
    <row r="8" spans="1:15" x14ac:dyDescent="0.45">
      <c r="A8">
        <v>107</v>
      </c>
      <c r="B8" t="s">
        <v>11</v>
      </c>
      <c r="C8">
        <v>31</v>
      </c>
      <c r="D8" t="s">
        <v>12</v>
      </c>
      <c r="E8" t="s">
        <v>13</v>
      </c>
      <c r="F8">
        <v>1150.5999999999999</v>
      </c>
      <c r="G8">
        <v>15</v>
      </c>
      <c r="H8">
        <v>4.5</v>
      </c>
      <c r="I8" t="b">
        <v>1</v>
      </c>
      <c r="J8">
        <v>28</v>
      </c>
      <c r="K8" t="s">
        <v>14</v>
      </c>
      <c r="L8" t="str" cm="1">
        <f t="array" ref="L8">_xlfn.IFS(Table1[[#This Row],[Discount Applied]]=TRUE,"Yes",Table1[[#This Row],[Discount Applied]]=FALSE,"No")</f>
        <v>Yes</v>
      </c>
      <c r="M8" t="str" cm="1">
        <f t="array" ref="M8">_xlfn.IFS(Table1[[#This Row],[Age]]&lt;18,"Under 18",Table1[[#This Row],[Age]]&lt;=23,"18-23",Table1[[#This Row],[Age]]&lt;=29,"24-29",Table1[[#This Row],[Age]]&lt;=35,"30-35",Table1[[#This Row],[Age]]&lt;=41,"36-41",Table1[[#This Row],[Age]]&gt;41,"Over 41")</f>
        <v>30-35</v>
      </c>
      <c r="N8" t="str" cm="1">
        <f t="array" ref="N8">_xlfn.IFS(Table1[[#This Row],[Days Since Last Purchase]]&lt;21,"Active",Table1[[#This Row],[Days Since Last Purchase]]&lt;=42,"Moderately Active",Table1[[#This Row],[Days Since Last Purchase]]&gt;=43, "Inactive")</f>
        <v>Moderately Active</v>
      </c>
      <c r="O8">
        <f>IF(K8="Satisfied",1,IF(K8="Neutral",0.5,IF(K8="Unsatisfied",0,IF(Table1[[#This Row],[Satisfaction Level]]="No Response","0"))))</f>
        <v>1</v>
      </c>
    </row>
    <row r="9" spans="1:15" x14ac:dyDescent="0.45">
      <c r="A9">
        <v>108</v>
      </c>
      <c r="B9" t="s">
        <v>15</v>
      </c>
      <c r="C9">
        <v>35</v>
      </c>
      <c r="D9" t="s">
        <v>16</v>
      </c>
      <c r="E9" t="s">
        <v>17</v>
      </c>
      <c r="F9">
        <v>800.9</v>
      </c>
      <c r="G9">
        <v>12</v>
      </c>
      <c r="H9">
        <v>4.2</v>
      </c>
      <c r="I9" t="b">
        <v>0</v>
      </c>
      <c r="J9">
        <v>14</v>
      </c>
      <c r="K9" t="s">
        <v>18</v>
      </c>
      <c r="L9" t="str" cm="1">
        <f t="array" ref="L9">_xlfn.IFS(Table1[[#This Row],[Discount Applied]]=TRUE,"Yes",Table1[[#This Row],[Discount Applied]]=FALSE,"No")</f>
        <v>No</v>
      </c>
      <c r="M9" t="str" cm="1">
        <f t="array" ref="M9">_xlfn.IFS(Table1[[#This Row],[Age]]&lt;18,"Under 18",Table1[[#This Row],[Age]]&lt;=23,"18-23",Table1[[#This Row],[Age]]&lt;=29,"24-29",Table1[[#This Row],[Age]]&lt;=35,"30-35",Table1[[#This Row],[Age]]&lt;=41,"36-41",Table1[[#This Row],[Age]]&gt;41,"Over 41")</f>
        <v>30-35</v>
      </c>
      <c r="N9" t="str" cm="1">
        <f t="array" ref="N9">_xlfn.IFS(Table1[[#This Row],[Days Since Last Purchase]]&lt;21,"Active",Table1[[#This Row],[Days Since Last Purchase]]&lt;=42,"Moderately Active",Table1[[#This Row],[Days Since Last Purchase]]&gt;=43, "Inactive")</f>
        <v>Active</v>
      </c>
      <c r="O9">
        <f>IF(K9="Satisfied",1,IF(K9="Neutral",0.5,IF(K9="Unsatisfied",0,IF(Table1[[#This Row],[Satisfaction Level]]="No Response","0"))))</f>
        <v>0.5</v>
      </c>
    </row>
    <row r="10" spans="1:15" x14ac:dyDescent="0.45">
      <c r="A10">
        <v>109</v>
      </c>
      <c r="B10" t="s">
        <v>11</v>
      </c>
      <c r="C10">
        <v>41</v>
      </c>
      <c r="D10" t="s">
        <v>19</v>
      </c>
      <c r="E10" t="s">
        <v>20</v>
      </c>
      <c r="F10">
        <v>495.25</v>
      </c>
      <c r="G10">
        <v>10</v>
      </c>
      <c r="H10">
        <v>3.6</v>
      </c>
      <c r="I10" t="b">
        <v>1</v>
      </c>
      <c r="J10">
        <v>40</v>
      </c>
      <c r="K10" t="s">
        <v>21</v>
      </c>
      <c r="L10" t="str" cm="1">
        <f t="array" ref="L10">_xlfn.IFS(Table1[[#This Row],[Discount Applied]]=TRUE,"Yes",Table1[[#This Row],[Discount Applied]]=FALSE,"No")</f>
        <v>Yes</v>
      </c>
      <c r="M10" t="str" cm="1">
        <f t="array" ref="M10">_xlfn.IFS(Table1[[#This Row],[Age]]&lt;18,"Under 18",Table1[[#This Row],[Age]]&lt;=23,"18-23",Table1[[#This Row],[Age]]&lt;=29,"24-29",Table1[[#This Row],[Age]]&lt;=35,"30-35",Table1[[#This Row],[Age]]&lt;=41,"36-41",Table1[[#This Row],[Age]]&gt;41,"Over 41")</f>
        <v>36-41</v>
      </c>
      <c r="N10" t="str" cm="1">
        <f t="array" ref="N10">_xlfn.IFS(Table1[[#This Row],[Days Since Last Purchase]]&lt;21,"Active",Table1[[#This Row],[Days Since Last Purchase]]&lt;=42,"Moderately Active",Table1[[#This Row],[Days Since Last Purchase]]&gt;=43, "Inactive")</f>
        <v>Moderately Active</v>
      </c>
      <c r="O10">
        <f>IF(K10="Satisfied",1,IF(K10="Neutral",0.5,IF(K10="Unsatisfied",0,IF(Table1[[#This Row],[Satisfaction Level]]="No Response","0"))))</f>
        <v>0</v>
      </c>
    </row>
    <row r="11" spans="1:15" x14ac:dyDescent="0.45">
      <c r="A11">
        <v>110</v>
      </c>
      <c r="B11" t="s">
        <v>15</v>
      </c>
      <c r="C11">
        <v>28</v>
      </c>
      <c r="D11" t="s">
        <v>22</v>
      </c>
      <c r="E11" t="s">
        <v>13</v>
      </c>
      <c r="F11">
        <v>1520.1</v>
      </c>
      <c r="G11">
        <v>21</v>
      </c>
      <c r="H11">
        <v>4.8</v>
      </c>
      <c r="I11" t="b">
        <v>0</v>
      </c>
      <c r="J11">
        <v>9</v>
      </c>
      <c r="K11" t="s">
        <v>14</v>
      </c>
      <c r="L11" t="str" cm="1">
        <f t="array" ref="L11">_xlfn.IFS(Table1[[#This Row],[Discount Applied]]=TRUE,"Yes",Table1[[#This Row],[Discount Applied]]=FALSE,"No")</f>
        <v>No</v>
      </c>
      <c r="M11" t="str" cm="1">
        <f t="array" ref="M11">_xlfn.IFS(Table1[[#This Row],[Age]]&lt;18,"Under 18",Table1[[#This Row],[Age]]&lt;=23,"18-23",Table1[[#This Row],[Age]]&lt;=29,"24-29",Table1[[#This Row],[Age]]&lt;=35,"30-35",Table1[[#This Row],[Age]]&lt;=41,"36-41",Table1[[#This Row],[Age]]&gt;41,"Over 41")</f>
        <v>24-29</v>
      </c>
      <c r="N11" t="str" cm="1">
        <f t="array" ref="N11">_xlfn.IFS(Table1[[#This Row],[Days Since Last Purchase]]&lt;21,"Active",Table1[[#This Row],[Days Since Last Purchase]]&lt;=42,"Moderately Active",Table1[[#This Row],[Days Since Last Purchase]]&gt;=43, "Inactive")</f>
        <v>Active</v>
      </c>
      <c r="O11">
        <f>IF(K11="Satisfied",1,IF(K11="Neutral",0.5,IF(K11="Unsatisfied",0,IF(Table1[[#This Row],[Satisfaction Level]]="No Response","0"))))</f>
        <v>1</v>
      </c>
    </row>
    <row r="12" spans="1:15" x14ac:dyDescent="0.45">
      <c r="A12">
        <v>111</v>
      </c>
      <c r="B12" t="s">
        <v>15</v>
      </c>
      <c r="C12">
        <v>32</v>
      </c>
      <c r="D12" t="s">
        <v>23</v>
      </c>
      <c r="E12" t="s">
        <v>17</v>
      </c>
      <c r="F12">
        <v>690.3</v>
      </c>
      <c r="G12">
        <v>11</v>
      </c>
      <c r="H12">
        <v>3.8</v>
      </c>
      <c r="I12" t="b">
        <v>1</v>
      </c>
      <c r="J12">
        <v>34</v>
      </c>
      <c r="K12" t="s">
        <v>21</v>
      </c>
      <c r="L12" t="str" cm="1">
        <f t="array" ref="L12">_xlfn.IFS(Table1[[#This Row],[Discount Applied]]=TRUE,"Yes",Table1[[#This Row],[Discount Applied]]=FALSE,"No")</f>
        <v>Yes</v>
      </c>
      <c r="M12" t="str" cm="1">
        <f t="array" ref="M12">_xlfn.IFS(Table1[[#This Row],[Age]]&lt;18,"Under 18",Table1[[#This Row],[Age]]&lt;=23,"18-23",Table1[[#This Row],[Age]]&lt;=29,"24-29",Table1[[#This Row],[Age]]&lt;=35,"30-35",Table1[[#This Row],[Age]]&lt;=41,"36-41",Table1[[#This Row],[Age]]&gt;41,"Over 41")</f>
        <v>30-35</v>
      </c>
      <c r="N12" t="str" cm="1">
        <f t="array" ref="N12">_xlfn.IFS(Table1[[#This Row],[Days Since Last Purchase]]&lt;21,"Active",Table1[[#This Row],[Days Since Last Purchase]]&lt;=42,"Moderately Active",Table1[[#This Row],[Days Since Last Purchase]]&gt;=43, "Inactive")</f>
        <v>Moderately Active</v>
      </c>
      <c r="O12">
        <f>IF(K12="Satisfied",1,IF(K12="Neutral",0.5,IF(K12="Unsatisfied",0,IF(Table1[[#This Row],[Satisfaction Level]]="No Response","0"))))</f>
        <v>0</v>
      </c>
    </row>
    <row r="13" spans="1:15" x14ac:dyDescent="0.45">
      <c r="A13">
        <v>112</v>
      </c>
      <c r="B13" t="s">
        <v>11</v>
      </c>
      <c r="C13">
        <v>36</v>
      </c>
      <c r="D13" t="s">
        <v>24</v>
      </c>
      <c r="E13" t="s">
        <v>20</v>
      </c>
      <c r="F13">
        <v>470.5</v>
      </c>
      <c r="G13">
        <v>7</v>
      </c>
      <c r="H13">
        <v>3.2</v>
      </c>
      <c r="I13" t="b">
        <v>0</v>
      </c>
      <c r="J13">
        <v>20</v>
      </c>
      <c r="K13" t="s">
        <v>18</v>
      </c>
      <c r="L13" t="str" cm="1">
        <f t="array" ref="L13">_xlfn.IFS(Table1[[#This Row],[Discount Applied]]=TRUE,"Yes",Table1[[#This Row],[Discount Applied]]=FALSE,"No")</f>
        <v>No</v>
      </c>
      <c r="M13" t="str" cm="1">
        <f t="array" ref="M13">_xlfn.IFS(Table1[[#This Row],[Age]]&lt;18,"Under 18",Table1[[#This Row],[Age]]&lt;=23,"18-23",Table1[[#This Row],[Age]]&lt;=29,"24-29",Table1[[#This Row],[Age]]&lt;=35,"30-35",Table1[[#This Row],[Age]]&lt;=41,"36-41",Table1[[#This Row],[Age]]&gt;41,"Over 41")</f>
        <v>36-41</v>
      </c>
      <c r="N13" t="str" cm="1">
        <f t="array" ref="N13">_xlfn.IFS(Table1[[#This Row],[Days Since Last Purchase]]&lt;21,"Active",Table1[[#This Row],[Days Since Last Purchase]]&lt;=42,"Moderately Active",Table1[[#This Row],[Days Since Last Purchase]]&gt;=43, "Inactive")</f>
        <v>Active</v>
      </c>
      <c r="O13">
        <f>IF(K13="Satisfied",1,IF(K13="Neutral",0.5,IF(K13="Unsatisfied",0,IF(Table1[[#This Row],[Satisfaction Level]]="No Response","0"))))</f>
        <v>0.5</v>
      </c>
    </row>
    <row r="14" spans="1:15" x14ac:dyDescent="0.45">
      <c r="A14">
        <v>113</v>
      </c>
      <c r="B14" t="s">
        <v>11</v>
      </c>
      <c r="C14">
        <v>30</v>
      </c>
      <c r="D14" t="s">
        <v>12</v>
      </c>
      <c r="E14" t="s">
        <v>13</v>
      </c>
      <c r="F14">
        <v>1200.8</v>
      </c>
      <c r="G14">
        <v>16</v>
      </c>
      <c r="H14">
        <v>4.3</v>
      </c>
      <c r="I14" t="b">
        <v>1</v>
      </c>
      <c r="J14">
        <v>21</v>
      </c>
      <c r="K14" t="s">
        <v>14</v>
      </c>
      <c r="L14" t="str" cm="1">
        <f t="array" ref="L14">_xlfn.IFS(Table1[[#This Row],[Discount Applied]]=TRUE,"Yes",Table1[[#This Row],[Discount Applied]]=FALSE,"No")</f>
        <v>Yes</v>
      </c>
      <c r="M14" t="str" cm="1">
        <f t="array" ref="M14">_xlfn.IFS(Table1[[#This Row],[Age]]&lt;18,"Under 18",Table1[[#This Row],[Age]]&lt;=23,"18-23",Table1[[#This Row],[Age]]&lt;=29,"24-29",Table1[[#This Row],[Age]]&lt;=35,"30-35",Table1[[#This Row],[Age]]&lt;=41,"36-41",Table1[[#This Row],[Age]]&gt;41,"Over 41")</f>
        <v>30-35</v>
      </c>
      <c r="N14" t="str" cm="1">
        <f t="array" ref="N14">_xlfn.IFS(Table1[[#This Row],[Days Since Last Purchase]]&lt;21,"Active",Table1[[#This Row],[Days Since Last Purchase]]&lt;=42,"Moderately Active",Table1[[#This Row],[Days Since Last Purchase]]&gt;=43, "Inactive")</f>
        <v>Moderately Active</v>
      </c>
      <c r="O14">
        <f>IF(K14="Satisfied",1,IF(K14="Neutral",0.5,IF(K14="Unsatisfied",0,IF(Table1[[#This Row],[Satisfaction Level]]="No Response","0"))))</f>
        <v>1</v>
      </c>
    </row>
    <row r="15" spans="1:15" x14ac:dyDescent="0.45">
      <c r="A15">
        <v>114</v>
      </c>
      <c r="B15" t="s">
        <v>15</v>
      </c>
      <c r="C15">
        <v>33</v>
      </c>
      <c r="D15" t="s">
        <v>16</v>
      </c>
      <c r="E15" t="s">
        <v>17</v>
      </c>
      <c r="F15">
        <v>820.75</v>
      </c>
      <c r="G15">
        <v>13</v>
      </c>
      <c r="H15">
        <v>4.4000000000000004</v>
      </c>
      <c r="I15" t="b">
        <v>0</v>
      </c>
      <c r="J15">
        <v>15</v>
      </c>
      <c r="K15" t="s">
        <v>14</v>
      </c>
      <c r="L15" t="str" cm="1">
        <f t="array" ref="L15">_xlfn.IFS(Table1[[#This Row],[Discount Applied]]=TRUE,"Yes",Table1[[#This Row],[Discount Applied]]=FALSE,"No")</f>
        <v>No</v>
      </c>
      <c r="M15" t="str" cm="1">
        <f t="array" ref="M15">_xlfn.IFS(Table1[[#This Row],[Age]]&lt;18,"Under 18",Table1[[#This Row],[Age]]&lt;=23,"18-23",Table1[[#This Row],[Age]]&lt;=29,"24-29",Table1[[#This Row],[Age]]&lt;=35,"30-35",Table1[[#This Row],[Age]]&lt;=41,"36-41",Table1[[#This Row],[Age]]&gt;41,"Over 41")</f>
        <v>30-35</v>
      </c>
      <c r="N15" t="str" cm="1">
        <f t="array" ref="N15">_xlfn.IFS(Table1[[#This Row],[Days Since Last Purchase]]&lt;21,"Active",Table1[[#This Row],[Days Since Last Purchase]]&lt;=42,"Moderately Active",Table1[[#This Row],[Days Since Last Purchase]]&gt;=43, "Inactive")</f>
        <v>Active</v>
      </c>
      <c r="O15">
        <f>IF(K15="Satisfied",1,IF(K15="Neutral",0.5,IF(K15="Unsatisfied",0,IF(Table1[[#This Row],[Satisfaction Level]]="No Response","0"))))</f>
        <v>1</v>
      </c>
    </row>
    <row r="16" spans="1:15" x14ac:dyDescent="0.45">
      <c r="A16">
        <v>115</v>
      </c>
      <c r="B16" t="s">
        <v>11</v>
      </c>
      <c r="C16">
        <v>42</v>
      </c>
      <c r="D16" t="s">
        <v>19</v>
      </c>
      <c r="E16" t="s">
        <v>20</v>
      </c>
      <c r="F16">
        <v>530.4</v>
      </c>
      <c r="G16">
        <v>9</v>
      </c>
      <c r="H16">
        <v>3.5</v>
      </c>
      <c r="I16" t="b">
        <v>1</v>
      </c>
      <c r="J16">
        <v>38</v>
      </c>
      <c r="K16" t="s">
        <v>21</v>
      </c>
      <c r="L16" t="str" cm="1">
        <f t="array" ref="L16">_xlfn.IFS(Table1[[#This Row],[Discount Applied]]=TRUE,"Yes",Table1[[#This Row],[Discount Applied]]=FALSE,"No")</f>
        <v>Yes</v>
      </c>
      <c r="M16" t="str" cm="1">
        <f t="array" ref="M16">_xlfn.IFS(Table1[[#This Row],[Age]]&lt;18,"Under 18",Table1[[#This Row],[Age]]&lt;=23,"18-23",Table1[[#This Row],[Age]]&lt;=29,"24-29",Table1[[#This Row],[Age]]&lt;=35,"30-35",Table1[[#This Row],[Age]]&lt;=41,"36-41",Table1[[#This Row],[Age]]&gt;41,"Over 41")</f>
        <v>Over 41</v>
      </c>
      <c r="N16" t="str" cm="1">
        <f t="array" ref="N16">_xlfn.IFS(Table1[[#This Row],[Days Since Last Purchase]]&lt;21,"Active",Table1[[#This Row],[Days Since Last Purchase]]&lt;=42,"Moderately Active",Table1[[#This Row],[Days Since Last Purchase]]&gt;=43, "Inactive")</f>
        <v>Moderately Active</v>
      </c>
      <c r="O16">
        <f>IF(K16="Satisfied",1,IF(K16="Neutral",0.5,IF(K16="Unsatisfied",0,IF(Table1[[#This Row],[Satisfaction Level]]="No Response","0"))))</f>
        <v>0</v>
      </c>
    </row>
    <row r="17" spans="1:15" x14ac:dyDescent="0.45">
      <c r="A17">
        <v>116</v>
      </c>
      <c r="B17" t="s">
        <v>15</v>
      </c>
      <c r="C17">
        <v>29</v>
      </c>
      <c r="D17" t="s">
        <v>22</v>
      </c>
      <c r="E17" t="s">
        <v>13</v>
      </c>
      <c r="F17">
        <v>1360.2</v>
      </c>
      <c r="G17">
        <v>18</v>
      </c>
      <c r="H17">
        <v>4.9000000000000004</v>
      </c>
      <c r="I17" t="b">
        <v>0</v>
      </c>
      <c r="J17">
        <v>11</v>
      </c>
      <c r="K17" t="s">
        <v>14</v>
      </c>
      <c r="L17" t="str" cm="1">
        <f t="array" ref="L17">_xlfn.IFS(Table1[[#This Row],[Discount Applied]]=TRUE,"Yes",Table1[[#This Row],[Discount Applied]]=FALSE,"No")</f>
        <v>No</v>
      </c>
      <c r="M17" t="str" cm="1">
        <f t="array" ref="M17">_xlfn.IFS(Table1[[#This Row],[Age]]&lt;18,"Under 18",Table1[[#This Row],[Age]]&lt;=23,"18-23",Table1[[#This Row],[Age]]&lt;=29,"24-29",Table1[[#This Row],[Age]]&lt;=35,"30-35",Table1[[#This Row],[Age]]&lt;=41,"36-41",Table1[[#This Row],[Age]]&gt;41,"Over 41")</f>
        <v>24-29</v>
      </c>
      <c r="N17" t="str" cm="1">
        <f t="array" ref="N17">_xlfn.IFS(Table1[[#This Row],[Days Since Last Purchase]]&lt;21,"Active",Table1[[#This Row],[Days Since Last Purchase]]&lt;=42,"Moderately Active",Table1[[#This Row],[Days Since Last Purchase]]&gt;=43, "Inactive")</f>
        <v>Active</v>
      </c>
      <c r="O17">
        <f>IF(K17="Satisfied",1,IF(K17="Neutral",0.5,IF(K17="Unsatisfied",0,IF(Table1[[#This Row],[Satisfaction Level]]="No Response","0"))))</f>
        <v>1</v>
      </c>
    </row>
    <row r="18" spans="1:15" x14ac:dyDescent="0.45">
      <c r="A18">
        <v>117</v>
      </c>
      <c r="B18" t="s">
        <v>15</v>
      </c>
      <c r="C18">
        <v>26</v>
      </c>
      <c r="D18" t="s">
        <v>23</v>
      </c>
      <c r="E18" t="s">
        <v>17</v>
      </c>
      <c r="F18">
        <v>700.6</v>
      </c>
      <c r="G18">
        <v>12</v>
      </c>
      <c r="H18">
        <v>3.7</v>
      </c>
      <c r="I18" t="b">
        <v>1</v>
      </c>
      <c r="J18">
        <v>48</v>
      </c>
      <c r="K18" t="s">
        <v>21</v>
      </c>
      <c r="L18" t="str" cm="1">
        <f t="array" ref="L18">_xlfn.IFS(Table1[[#This Row],[Discount Applied]]=TRUE,"Yes",Table1[[#This Row],[Discount Applied]]=FALSE,"No")</f>
        <v>Yes</v>
      </c>
      <c r="M18" t="str" cm="1">
        <f t="array" ref="M18">_xlfn.IFS(Table1[[#This Row],[Age]]&lt;18,"Under 18",Table1[[#This Row],[Age]]&lt;=23,"18-23",Table1[[#This Row],[Age]]&lt;=29,"24-29",Table1[[#This Row],[Age]]&lt;=35,"30-35",Table1[[#This Row],[Age]]&lt;=41,"36-41",Table1[[#This Row],[Age]]&gt;41,"Over 41")</f>
        <v>24-29</v>
      </c>
      <c r="N18" t="str" cm="1">
        <f t="array" ref="N18">_xlfn.IFS(Table1[[#This Row],[Days Since Last Purchase]]&lt;21,"Active",Table1[[#This Row],[Days Since Last Purchase]]&lt;=42,"Moderately Active",Table1[[#This Row],[Days Since Last Purchase]]&gt;=43, "Inactive")</f>
        <v>Inactive</v>
      </c>
      <c r="O18">
        <f>IF(K18="Satisfied",1,IF(K18="Neutral",0.5,IF(K18="Unsatisfied",0,IF(Table1[[#This Row],[Satisfaction Level]]="No Response","0"))))</f>
        <v>0</v>
      </c>
    </row>
    <row r="19" spans="1:15" x14ac:dyDescent="0.45">
      <c r="A19">
        <v>118</v>
      </c>
      <c r="B19" t="s">
        <v>11</v>
      </c>
      <c r="C19">
        <v>38</v>
      </c>
      <c r="D19" t="s">
        <v>24</v>
      </c>
      <c r="E19" t="s">
        <v>20</v>
      </c>
      <c r="F19">
        <v>450.9</v>
      </c>
      <c r="G19">
        <v>8</v>
      </c>
      <c r="H19">
        <v>3</v>
      </c>
      <c r="I19" t="b">
        <v>0</v>
      </c>
      <c r="J19">
        <v>25</v>
      </c>
      <c r="K19" t="s">
        <v>18</v>
      </c>
      <c r="L19" t="str" cm="1">
        <f t="array" ref="L19">_xlfn.IFS(Table1[[#This Row],[Discount Applied]]=TRUE,"Yes",Table1[[#This Row],[Discount Applied]]=FALSE,"No")</f>
        <v>No</v>
      </c>
      <c r="M19" t="str" cm="1">
        <f t="array" ref="M19">_xlfn.IFS(Table1[[#This Row],[Age]]&lt;18,"Under 18",Table1[[#This Row],[Age]]&lt;=23,"18-23",Table1[[#This Row],[Age]]&lt;=29,"24-29",Table1[[#This Row],[Age]]&lt;=35,"30-35",Table1[[#This Row],[Age]]&lt;=41,"36-41",Table1[[#This Row],[Age]]&gt;41,"Over 41")</f>
        <v>36-41</v>
      </c>
      <c r="N19" t="str" cm="1">
        <f t="array" ref="N19">_xlfn.IFS(Table1[[#This Row],[Days Since Last Purchase]]&lt;21,"Active",Table1[[#This Row],[Days Since Last Purchase]]&lt;=42,"Moderately Active",Table1[[#This Row],[Days Since Last Purchase]]&gt;=43, "Inactive")</f>
        <v>Moderately Active</v>
      </c>
      <c r="O19">
        <f>IF(K19="Satisfied",1,IF(K19="Neutral",0.5,IF(K19="Unsatisfied",0,IF(Table1[[#This Row],[Satisfaction Level]]="No Response","0"))))</f>
        <v>0.5</v>
      </c>
    </row>
    <row r="20" spans="1:15" x14ac:dyDescent="0.45">
      <c r="A20">
        <v>119</v>
      </c>
      <c r="B20" t="s">
        <v>11</v>
      </c>
      <c r="C20">
        <v>32</v>
      </c>
      <c r="D20" t="s">
        <v>12</v>
      </c>
      <c r="E20" t="s">
        <v>13</v>
      </c>
      <c r="F20">
        <v>1170.3</v>
      </c>
      <c r="G20">
        <v>14</v>
      </c>
      <c r="H20">
        <v>4.7</v>
      </c>
      <c r="I20" t="b">
        <v>1</v>
      </c>
      <c r="J20">
        <v>29</v>
      </c>
      <c r="K20" t="s">
        <v>14</v>
      </c>
      <c r="L20" t="str" cm="1">
        <f t="array" ref="L20">_xlfn.IFS(Table1[[#This Row],[Discount Applied]]=TRUE,"Yes",Table1[[#This Row],[Discount Applied]]=FALSE,"No")</f>
        <v>Yes</v>
      </c>
      <c r="M20" t="str" cm="1">
        <f t="array" ref="M20">_xlfn.IFS(Table1[[#This Row],[Age]]&lt;18,"Under 18",Table1[[#This Row],[Age]]&lt;=23,"18-23",Table1[[#This Row],[Age]]&lt;=29,"24-29",Table1[[#This Row],[Age]]&lt;=35,"30-35",Table1[[#This Row],[Age]]&lt;=41,"36-41",Table1[[#This Row],[Age]]&gt;41,"Over 41")</f>
        <v>30-35</v>
      </c>
      <c r="N20" t="str" cm="1">
        <f t="array" ref="N20">_xlfn.IFS(Table1[[#This Row],[Days Since Last Purchase]]&lt;21,"Active",Table1[[#This Row],[Days Since Last Purchase]]&lt;=42,"Moderately Active",Table1[[#This Row],[Days Since Last Purchase]]&gt;=43, "Inactive")</f>
        <v>Moderately Active</v>
      </c>
      <c r="O20">
        <f>IF(K20="Satisfied",1,IF(K20="Neutral",0.5,IF(K20="Unsatisfied",0,IF(Table1[[#This Row],[Satisfaction Level]]="No Response","0"))))</f>
        <v>1</v>
      </c>
    </row>
    <row r="21" spans="1:15" x14ac:dyDescent="0.45">
      <c r="A21">
        <v>120</v>
      </c>
      <c r="B21" t="s">
        <v>15</v>
      </c>
      <c r="C21">
        <v>34</v>
      </c>
      <c r="D21" t="s">
        <v>16</v>
      </c>
      <c r="E21" t="s">
        <v>17</v>
      </c>
      <c r="F21">
        <v>790.2</v>
      </c>
      <c r="G21">
        <v>11</v>
      </c>
      <c r="H21">
        <v>4</v>
      </c>
      <c r="I21" t="b">
        <v>0</v>
      </c>
      <c r="J21">
        <v>16</v>
      </c>
      <c r="K21" t="s">
        <v>18</v>
      </c>
      <c r="L21" t="str" cm="1">
        <f t="array" ref="L21">_xlfn.IFS(Table1[[#This Row],[Discount Applied]]=TRUE,"Yes",Table1[[#This Row],[Discount Applied]]=FALSE,"No")</f>
        <v>No</v>
      </c>
      <c r="M21" t="str" cm="1">
        <f t="array" ref="M21">_xlfn.IFS(Table1[[#This Row],[Age]]&lt;18,"Under 18",Table1[[#This Row],[Age]]&lt;=23,"18-23",Table1[[#This Row],[Age]]&lt;=29,"24-29",Table1[[#This Row],[Age]]&lt;=35,"30-35",Table1[[#This Row],[Age]]&lt;=41,"36-41",Table1[[#This Row],[Age]]&gt;41,"Over 41")</f>
        <v>30-35</v>
      </c>
      <c r="N21" t="str" cm="1">
        <f t="array" ref="N21">_xlfn.IFS(Table1[[#This Row],[Days Since Last Purchase]]&lt;21,"Active",Table1[[#This Row],[Days Since Last Purchase]]&lt;=42,"Moderately Active",Table1[[#This Row],[Days Since Last Purchase]]&gt;=43, "Inactive")</f>
        <v>Active</v>
      </c>
      <c r="O21">
        <f>IF(K21="Satisfied",1,IF(K21="Neutral",0.5,IF(K21="Unsatisfied",0,IF(Table1[[#This Row],[Satisfaction Level]]="No Response","0"))))</f>
        <v>0.5</v>
      </c>
    </row>
    <row r="22" spans="1:15" x14ac:dyDescent="0.45">
      <c r="A22">
        <v>121</v>
      </c>
      <c r="B22" t="s">
        <v>11</v>
      </c>
      <c r="C22">
        <v>43</v>
      </c>
      <c r="D22" t="s">
        <v>19</v>
      </c>
      <c r="E22" t="s">
        <v>20</v>
      </c>
      <c r="F22">
        <v>505.75</v>
      </c>
      <c r="G22">
        <v>10</v>
      </c>
      <c r="H22">
        <v>3.3</v>
      </c>
      <c r="I22" t="b">
        <v>1</v>
      </c>
      <c r="J22">
        <v>41</v>
      </c>
      <c r="K22" t="s">
        <v>21</v>
      </c>
      <c r="L22" t="str" cm="1">
        <f t="array" ref="L22">_xlfn.IFS(Table1[[#This Row],[Discount Applied]]=TRUE,"Yes",Table1[[#This Row],[Discount Applied]]=FALSE,"No")</f>
        <v>Yes</v>
      </c>
      <c r="M22" t="str" cm="1">
        <f t="array" ref="M22">_xlfn.IFS(Table1[[#This Row],[Age]]&lt;18,"Under 18",Table1[[#This Row],[Age]]&lt;=23,"18-23",Table1[[#This Row],[Age]]&lt;=29,"24-29",Table1[[#This Row],[Age]]&lt;=35,"30-35",Table1[[#This Row],[Age]]&lt;=41,"36-41",Table1[[#This Row],[Age]]&gt;41,"Over 41")</f>
        <v>Over 41</v>
      </c>
      <c r="N22" t="str" cm="1">
        <f t="array" ref="N22">_xlfn.IFS(Table1[[#This Row],[Days Since Last Purchase]]&lt;21,"Active",Table1[[#This Row],[Days Since Last Purchase]]&lt;=42,"Moderately Active",Table1[[#This Row],[Days Since Last Purchase]]&gt;=43, "Inactive")</f>
        <v>Moderately Active</v>
      </c>
      <c r="O22">
        <f>IF(K22="Satisfied",1,IF(K22="Neutral",0.5,IF(K22="Unsatisfied",0,IF(Table1[[#This Row],[Satisfaction Level]]="No Response","0"))))</f>
        <v>0</v>
      </c>
    </row>
    <row r="23" spans="1:15" x14ac:dyDescent="0.45">
      <c r="A23">
        <v>122</v>
      </c>
      <c r="B23" t="s">
        <v>15</v>
      </c>
      <c r="C23">
        <v>30</v>
      </c>
      <c r="D23" t="s">
        <v>22</v>
      </c>
      <c r="E23" t="s">
        <v>13</v>
      </c>
      <c r="F23">
        <v>1470.5</v>
      </c>
      <c r="G23">
        <v>20</v>
      </c>
      <c r="H23">
        <v>4.8</v>
      </c>
      <c r="I23" t="b">
        <v>0</v>
      </c>
      <c r="J23">
        <v>13</v>
      </c>
      <c r="K23" t="s">
        <v>14</v>
      </c>
      <c r="L23" t="str" cm="1">
        <f t="array" ref="L23">_xlfn.IFS(Table1[[#This Row],[Discount Applied]]=TRUE,"Yes",Table1[[#This Row],[Discount Applied]]=FALSE,"No")</f>
        <v>No</v>
      </c>
      <c r="M23" t="str" cm="1">
        <f t="array" ref="M23">_xlfn.IFS(Table1[[#This Row],[Age]]&lt;18,"Under 18",Table1[[#This Row],[Age]]&lt;=23,"18-23",Table1[[#This Row],[Age]]&lt;=29,"24-29",Table1[[#This Row],[Age]]&lt;=35,"30-35",Table1[[#This Row],[Age]]&lt;=41,"36-41",Table1[[#This Row],[Age]]&gt;41,"Over 41")</f>
        <v>30-35</v>
      </c>
      <c r="N23" t="str" cm="1">
        <f t="array" ref="N23">_xlfn.IFS(Table1[[#This Row],[Days Since Last Purchase]]&lt;21,"Active",Table1[[#This Row],[Days Since Last Purchase]]&lt;=42,"Moderately Active",Table1[[#This Row],[Days Since Last Purchase]]&gt;=43, "Inactive")</f>
        <v>Active</v>
      </c>
      <c r="O23">
        <f>IF(K23="Satisfied",1,IF(K23="Neutral",0.5,IF(K23="Unsatisfied",0,IF(Table1[[#This Row],[Satisfaction Level]]="No Response","0"))))</f>
        <v>1</v>
      </c>
    </row>
    <row r="24" spans="1:15" x14ac:dyDescent="0.45">
      <c r="A24">
        <v>123</v>
      </c>
      <c r="B24" t="s">
        <v>15</v>
      </c>
      <c r="C24">
        <v>27</v>
      </c>
      <c r="D24" t="s">
        <v>23</v>
      </c>
      <c r="E24" t="s">
        <v>17</v>
      </c>
      <c r="F24">
        <v>710.4</v>
      </c>
      <c r="G24">
        <v>13</v>
      </c>
      <c r="H24">
        <v>4.0999999999999996</v>
      </c>
      <c r="I24" t="b">
        <v>1</v>
      </c>
      <c r="J24">
        <v>54</v>
      </c>
      <c r="K24" t="s">
        <v>21</v>
      </c>
      <c r="L24" t="str" cm="1">
        <f t="array" ref="L24">_xlfn.IFS(Table1[[#This Row],[Discount Applied]]=TRUE,"Yes",Table1[[#This Row],[Discount Applied]]=FALSE,"No")</f>
        <v>Yes</v>
      </c>
      <c r="M24" t="str" cm="1">
        <f t="array" ref="M24">_xlfn.IFS(Table1[[#This Row],[Age]]&lt;18,"Under 18",Table1[[#This Row],[Age]]&lt;=23,"18-23",Table1[[#This Row],[Age]]&lt;=29,"24-29",Table1[[#This Row],[Age]]&lt;=35,"30-35",Table1[[#This Row],[Age]]&lt;=41,"36-41",Table1[[#This Row],[Age]]&gt;41,"Over 41")</f>
        <v>24-29</v>
      </c>
      <c r="N24" t="str" cm="1">
        <f t="array" ref="N24">_xlfn.IFS(Table1[[#This Row],[Days Since Last Purchase]]&lt;21,"Active",Table1[[#This Row],[Days Since Last Purchase]]&lt;=42,"Moderately Active",Table1[[#This Row],[Days Since Last Purchase]]&gt;=43, "Inactive")</f>
        <v>Inactive</v>
      </c>
      <c r="O24">
        <f>IF(K24="Satisfied",1,IF(K24="Neutral",0.5,IF(K24="Unsatisfied",0,IF(Table1[[#This Row],[Satisfaction Level]]="No Response","0"))))</f>
        <v>0</v>
      </c>
    </row>
    <row r="25" spans="1:15" x14ac:dyDescent="0.45">
      <c r="A25">
        <v>124</v>
      </c>
      <c r="B25" t="s">
        <v>11</v>
      </c>
      <c r="C25">
        <v>37</v>
      </c>
      <c r="D25" t="s">
        <v>24</v>
      </c>
      <c r="E25" t="s">
        <v>20</v>
      </c>
      <c r="F25">
        <v>430.8</v>
      </c>
      <c r="G25">
        <v>7</v>
      </c>
      <c r="H25">
        <v>3.4</v>
      </c>
      <c r="I25" t="b">
        <v>0</v>
      </c>
      <c r="J25">
        <v>23</v>
      </c>
      <c r="K25" t="s">
        <v>18</v>
      </c>
      <c r="L25" t="str" cm="1">
        <f t="array" ref="L25">_xlfn.IFS(Table1[[#This Row],[Discount Applied]]=TRUE,"Yes",Table1[[#This Row],[Discount Applied]]=FALSE,"No")</f>
        <v>No</v>
      </c>
      <c r="M25" t="str" cm="1">
        <f t="array" ref="M25">_xlfn.IFS(Table1[[#This Row],[Age]]&lt;18,"Under 18",Table1[[#This Row],[Age]]&lt;=23,"18-23",Table1[[#This Row],[Age]]&lt;=29,"24-29",Table1[[#This Row],[Age]]&lt;=35,"30-35",Table1[[#This Row],[Age]]&lt;=41,"36-41",Table1[[#This Row],[Age]]&gt;41,"Over 41")</f>
        <v>36-41</v>
      </c>
      <c r="N25" t="str" cm="1">
        <f t="array" ref="N25">_xlfn.IFS(Table1[[#This Row],[Days Since Last Purchase]]&lt;21,"Active",Table1[[#This Row],[Days Since Last Purchase]]&lt;=42,"Moderately Active",Table1[[#This Row],[Days Since Last Purchase]]&gt;=43, "Inactive")</f>
        <v>Moderately Active</v>
      </c>
      <c r="O25">
        <f>IF(K25="Satisfied",1,IF(K25="Neutral",0.5,IF(K25="Unsatisfied",0,IF(Table1[[#This Row],[Satisfaction Level]]="No Response","0"))))</f>
        <v>0.5</v>
      </c>
    </row>
    <row r="26" spans="1:15" x14ac:dyDescent="0.45">
      <c r="A26">
        <v>125</v>
      </c>
      <c r="B26" t="s">
        <v>11</v>
      </c>
      <c r="C26">
        <v>31</v>
      </c>
      <c r="D26" t="s">
        <v>12</v>
      </c>
      <c r="E26" t="s">
        <v>13</v>
      </c>
      <c r="F26">
        <v>1140.5999999999999</v>
      </c>
      <c r="G26">
        <v>15</v>
      </c>
      <c r="H26">
        <v>4.5999999999999996</v>
      </c>
      <c r="I26" t="b">
        <v>1</v>
      </c>
      <c r="J26">
        <v>27</v>
      </c>
      <c r="K26" t="s">
        <v>14</v>
      </c>
      <c r="L26" t="str" cm="1">
        <f t="array" ref="L26">_xlfn.IFS(Table1[[#This Row],[Discount Applied]]=TRUE,"Yes",Table1[[#This Row],[Discount Applied]]=FALSE,"No")</f>
        <v>Yes</v>
      </c>
      <c r="M26" t="str" cm="1">
        <f t="array" ref="M26">_xlfn.IFS(Table1[[#This Row],[Age]]&lt;18,"Under 18",Table1[[#This Row],[Age]]&lt;=23,"18-23",Table1[[#This Row],[Age]]&lt;=29,"24-29",Table1[[#This Row],[Age]]&lt;=35,"30-35",Table1[[#This Row],[Age]]&lt;=41,"36-41",Table1[[#This Row],[Age]]&gt;41,"Over 41")</f>
        <v>30-35</v>
      </c>
      <c r="N26" t="str" cm="1">
        <f t="array" ref="N26">_xlfn.IFS(Table1[[#This Row],[Days Since Last Purchase]]&lt;21,"Active",Table1[[#This Row],[Days Since Last Purchase]]&lt;=42,"Moderately Active",Table1[[#This Row],[Days Since Last Purchase]]&gt;=43, "Inactive")</f>
        <v>Moderately Active</v>
      </c>
      <c r="O26">
        <f>IF(K26="Satisfied",1,IF(K26="Neutral",0.5,IF(K26="Unsatisfied",0,IF(Table1[[#This Row],[Satisfaction Level]]="No Response","0"))))</f>
        <v>1</v>
      </c>
    </row>
    <row r="27" spans="1:15" x14ac:dyDescent="0.45">
      <c r="A27">
        <v>126</v>
      </c>
      <c r="B27" t="s">
        <v>15</v>
      </c>
      <c r="C27">
        <v>35</v>
      </c>
      <c r="D27" t="s">
        <v>16</v>
      </c>
      <c r="E27" t="s">
        <v>17</v>
      </c>
      <c r="F27">
        <v>810.9</v>
      </c>
      <c r="G27">
        <v>12</v>
      </c>
      <c r="H27">
        <v>4.3</v>
      </c>
      <c r="I27" t="b">
        <v>0</v>
      </c>
      <c r="J27">
        <v>13</v>
      </c>
      <c r="K27" t="s">
        <v>18</v>
      </c>
      <c r="L27" t="str" cm="1">
        <f t="array" ref="L27">_xlfn.IFS(Table1[[#This Row],[Discount Applied]]=TRUE,"Yes",Table1[[#This Row],[Discount Applied]]=FALSE,"No")</f>
        <v>No</v>
      </c>
      <c r="M27" t="str" cm="1">
        <f t="array" ref="M27">_xlfn.IFS(Table1[[#This Row],[Age]]&lt;18,"Under 18",Table1[[#This Row],[Age]]&lt;=23,"18-23",Table1[[#This Row],[Age]]&lt;=29,"24-29",Table1[[#This Row],[Age]]&lt;=35,"30-35",Table1[[#This Row],[Age]]&lt;=41,"36-41",Table1[[#This Row],[Age]]&gt;41,"Over 41")</f>
        <v>30-35</v>
      </c>
      <c r="N27" t="str" cm="1">
        <f t="array" ref="N27">_xlfn.IFS(Table1[[#This Row],[Days Since Last Purchase]]&lt;21,"Active",Table1[[#This Row],[Days Since Last Purchase]]&lt;=42,"Moderately Active",Table1[[#This Row],[Days Since Last Purchase]]&gt;=43, "Inactive")</f>
        <v>Active</v>
      </c>
      <c r="O27">
        <f>IF(K27="Satisfied",1,IF(K27="Neutral",0.5,IF(K27="Unsatisfied",0,IF(Table1[[#This Row],[Satisfaction Level]]="No Response","0"))))</f>
        <v>0.5</v>
      </c>
    </row>
    <row r="28" spans="1:15" x14ac:dyDescent="0.45">
      <c r="A28">
        <v>127</v>
      </c>
      <c r="B28" t="s">
        <v>11</v>
      </c>
      <c r="C28">
        <v>41</v>
      </c>
      <c r="D28" t="s">
        <v>19</v>
      </c>
      <c r="E28" t="s">
        <v>20</v>
      </c>
      <c r="F28">
        <v>485.25</v>
      </c>
      <c r="G28">
        <v>9</v>
      </c>
      <c r="H28">
        <v>3.6</v>
      </c>
      <c r="I28" t="b">
        <v>1</v>
      </c>
      <c r="J28">
        <v>39</v>
      </c>
      <c r="K28" t="s">
        <v>21</v>
      </c>
      <c r="L28" t="str" cm="1">
        <f t="array" ref="L28">_xlfn.IFS(Table1[[#This Row],[Discount Applied]]=TRUE,"Yes",Table1[[#This Row],[Discount Applied]]=FALSE,"No")</f>
        <v>Yes</v>
      </c>
      <c r="M28" t="str" cm="1">
        <f t="array" ref="M28">_xlfn.IFS(Table1[[#This Row],[Age]]&lt;18,"Under 18",Table1[[#This Row],[Age]]&lt;=23,"18-23",Table1[[#This Row],[Age]]&lt;=29,"24-29",Table1[[#This Row],[Age]]&lt;=35,"30-35",Table1[[#This Row],[Age]]&lt;=41,"36-41",Table1[[#This Row],[Age]]&gt;41,"Over 41")</f>
        <v>36-41</v>
      </c>
      <c r="N28" t="str" cm="1">
        <f t="array" ref="N28">_xlfn.IFS(Table1[[#This Row],[Days Since Last Purchase]]&lt;21,"Active",Table1[[#This Row],[Days Since Last Purchase]]&lt;=42,"Moderately Active",Table1[[#This Row],[Days Since Last Purchase]]&gt;=43, "Inactive")</f>
        <v>Moderately Active</v>
      </c>
      <c r="O28">
        <f>IF(K28="Satisfied",1,IF(K28="Neutral",0.5,IF(K28="Unsatisfied",0,IF(Table1[[#This Row],[Satisfaction Level]]="No Response","0"))))</f>
        <v>0</v>
      </c>
    </row>
    <row r="29" spans="1:15" x14ac:dyDescent="0.45">
      <c r="A29">
        <v>128</v>
      </c>
      <c r="B29" t="s">
        <v>15</v>
      </c>
      <c r="C29">
        <v>28</v>
      </c>
      <c r="D29" t="s">
        <v>22</v>
      </c>
      <c r="E29" t="s">
        <v>13</v>
      </c>
      <c r="F29">
        <v>1500.1</v>
      </c>
      <c r="G29">
        <v>21</v>
      </c>
      <c r="H29">
        <v>4.9000000000000004</v>
      </c>
      <c r="I29" t="b">
        <v>0</v>
      </c>
      <c r="J29">
        <v>10</v>
      </c>
      <c r="K29" t="s">
        <v>14</v>
      </c>
      <c r="L29" t="str" cm="1">
        <f t="array" ref="L29">_xlfn.IFS(Table1[[#This Row],[Discount Applied]]=TRUE,"Yes",Table1[[#This Row],[Discount Applied]]=FALSE,"No")</f>
        <v>No</v>
      </c>
      <c r="M29" t="str" cm="1">
        <f t="array" ref="M29">_xlfn.IFS(Table1[[#This Row],[Age]]&lt;18,"Under 18",Table1[[#This Row],[Age]]&lt;=23,"18-23",Table1[[#This Row],[Age]]&lt;=29,"24-29",Table1[[#This Row],[Age]]&lt;=35,"30-35",Table1[[#This Row],[Age]]&lt;=41,"36-41",Table1[[#This Row],[Age]]&gt;41,"Over 41")</f>
        <v>24-29</v>
      </c>
      <c r="N29" t="str" cm="1">
        <f t="array" ref="N29">_xlfn.IFS(Table1[[#This Row],[Days Since Last Purchase]]&lt;21,"Active",Table1[[#This Row],[Days Since Last Purchase]]&lt;=42,"Moderately Active",Table1[[#This Row],[Days Since Last Purchase]]&gt;=43, "Inactive")</f>
        <v>Active</v>
      </c>
      <c r="O29">
        <f>IF(K29="Satisfied",1,IF(K29="Neutral",0.5,IF(K29="Unsatisfied",0,IF(Table1[[#This Row],[Satisfaction Level]]="No Response","0"))))</f>
        <v>1</v>
      </c>
    </row>
    <row r="30" spans="1:15" x14ac:dyDescent="0.45">
      <c r="A30">
        <v>129</v>
      </c>
      <c r="B30" t="s">
        <v>15</v>
      </c>
      <c r="C30">
        <v>32</v>
      </c>
      <c r="D30" t="s">
        <v>23</v>
      </c>
      <c r="E30" t="s">
        <v>17</v>
      </c>
      <c r="F30">
        <v>670.3</v>
      </c>
      <c r="G30">
        <v>10</v>
      </c>
      <c r="H30">
        <v>3.8</v>
      </c>
      <c r="I30" t="b">
        <v>1</v>
      </c>
      <c r="J30">
        <v>33</v>
      </c>
      <c r="K30" t="s">
        <v>21</v>
      </c>
      <c r="L30" t="str" cm="1">
        <f t="array" ref="L30">_xlfn.IFS(Table1[[#This Row],[Discount Applied]]=TRUE,"Yes",Table1[[#This Row],[Discount Applied]]=FALSE,"No")</f>
        <v>Yes</v>
      </c>
      <c r="M30" t="str" cm="1">
        <f t="array" ref="M30">_xlfn.IFS(Table1[[#This Row],[Age]]&lt;18,"Under 18",Table1[[#This Row],[Age]]&lt;=23,"18-23",Table1[[#This Row],[Age]]&lt;=29,"24-29",Table1[[#This Row],[Age]]&lt;=35,"30-35",Table1[[#This Row],[Age]]&lt;=41,"36-41",Table1[[#This Row],[Age]]&gt;41,"Over 41")</f>
        <v>30-35</v>
      </c>
      <c r="N30" t="str" cm="1">
        <f t="array" ref="N30">_xlfn.IFS(Table1[[#This Row],[Days Since Last Purchase]]&lt;21,"Active",Table1[[#This Row],[Days Since Last Purchase]]&lt;=42,"Moderately Active",Table1[[#This Row],[Days Since Last Purchase]]&gt;=43, "Inactive")</f>
        <v>Moderately Active</v>
      </c>
      <c r="O30">
        <f>IF(K30="Satisfied",1,IF(K30="Neutral",0.5,IF(K30="Unsatisfied",0,IF(Table1[[#This Row],[Satisfaction Level]]="No Response","0"))))</f>
        <v>0</v>
      </c>
    </row>
    <row r="31" spans="1:15" x14ac:dyDescent="0.45">
      <c r="A31">
        <v>130</v>
      </c>
      <c r="B31" t="s">
        <v>11</v>
      </c>
      <c r="C31">
        <v>36</v>
      </c>
      <c r="D31" t="s">
        <v>24</v>
      </c>
      <c r="E31" t="s">
        <v>20</v>
      </c>
      <c r="F31">
        <v>460.5</v>
      </c>
      <c r="G31">
        <v>8</v>
      </c>
      <c r="H31">
        <v>3.1</v>
      </c>
      <c r="I31" t="b">
        <v>0</v>
      </c>
      <c r="J31">
        <v>19</v>
      </c>
      <c r="K31" t="s">
        <v>18</v>
      </c>
      <c r="L31" t="str" cm="1">
        <f t="array" ref="L31">_xlfn.IFS(Table1[[#This Row],[Discount Applied]]=TRUE,"Yes",Table1[[#This Row],[Discount Applied]]=FALSE,"No")</f>
        <v>No</v>
      </c>
      <c r="M31" t="str" cm="1">
        <f t="array" ref="M31">_xlfn.IFS(Table1[[#This Row],[Age]]&lt;18,"Under 18",Table1[[#This Row],[Age]]&lt;=23,"18-23",Table1[[#This Row],[Age]]&lt;=29,"24-29",Table1[[#This Row],[Age]]&lt;=35,"30-35",Table1[[#This Row],[Age]]&lt;=41,"36-41",Table1[[#This Row],[Age]]&gt;41,"Over 41")</f>
        <v>36-41</v>
      </c>
      <c r="N31" t="str" cm="1">
        <f t="array" ref="N31">_xlfn.IFS(Table1[[#This Row],[Days Since Last Purchase]]&lt;21,"Active",Table1[[#This Row],[Days Since Last Purchase]]&lt;=42,"Moderately Active",Table1[[#This Row],[Days Since Last Purchase]]&gt;=43, "Inactive")</f>
        <v>Active</v>
      </c>
      <c r="O31">
        <f>IF(K31="Satisfied",1,IF(K31="Neutral",0.5,IF(K31="Unsatisfied",0,IF(Table1[[#This Row],[Satisfaction Level]]="No Response","0"))))</f>
        <v>0.5</v>
      </c>
    </row>
    <row r="32" spans="1:15" x14ac:dyDescent="0.45">
      <c r="A32">
        <v>131</v>
      </c>
      <c r="B32" t="s">
        <v>11</v>
      </c>
      <c r="C32">
        <v>30</v>
      </c>
      <c r="D32" t="s">
        <v>12</v>
      </c>
      <c r="E32" t="s">
        <v>13</v>
      </c>
      <c r="F32">
        <v>1190.8</v>
      </c>
      <c r="G32">
        <v>16</v>
      </c>
      <c r="H32">
        <v>4.5</v>
      </c>
      <c r="I32" t="b">
        <v>1</v>
      </c>
      <c r="J32">
        <v>20</v>
      </c>
      <c r="K32" t="s">
        <v>14</v>
      </c>
      <c r="L32" t="str" cm="1">
        <f t="array" ref="L32">_xlfn.IFS(Table1[[#This Row],[Discount Applied]]=TRUE,"Yes",Table1[[#This Row],[Discount Applied]]=FALSE,"No")</f>
        <v>Yes</v>
      </c>
      <c r="M32" t="str" cm="1">
        <f t="array" ref="M32">_xlfn.IFS(Table1[[#This Row],[Age]]&lt;18,"Under 18",Table1[[#This Row],[Age]]&lt;=23,"18-23",Table1[[#This Row],[Age]]&lt;=29,"24-29",Table1[[#This Row],[Age]]&lt;=35,"30-35",Table1[[#This Row],[Age]]&lt;=41,"36-41",Table1[[#This Row],[Age]]&gt;41,"Over 41")</f>
        <v>30-35</v>
      </c>
      <c r="N32" t="str" cm="1">
        <f t="array" ref="N32">_xlfn.IFS(Table1[[#This Row],[Days Since Last Purchase]]&lt;21,"Active",Table1[[#This Row],[Days Since Last Purchase]]&lt;=42,"Moderately Active",Table1[[#This Row],[Days Since Last Purchase]]&gt;=43, "Inactive")</f>
        <v>Active</v>
      </c>
      <c r="O32">
        <f>IF(K32="Satisfied",1,IF(K32="Neutral",0.5,IF(K32="Unsatisfied",0,IF(Table1[[#This Row],[Satisfaction Level]]="No Response","0"))))</f>
        <v>1</v>
      </c>
    </row>
    <row r="33" spans="1:15" x14ac:dyDescent="0.45">
      <c r="A33">
        <v>132</v>
      </c>
      <c r="B33" t="s">
        <v>15</v>
      </c>
      <c r="C33">
        <v>33</v>
      </c>
      <c r="D33" t="s">
        <v>16</v>
      </c>
      <c r="E33" t="s">
        <v>17</v>
      </c>
      <c r="F33">
        <v>830.75</v>
      </c>
      <c r="G33">
        <v>13</v>
      </c>
      <c r="H33">
        <v>4.2</v>
      </c>
      <c r="I33" t="b">
        <v>0</v>
      </c>
      <c r="J33">
        <v>14</v>
      </c>
      <c r="K33" t="s">
        <v>14</v>
      </c>
      <c r="L33" t="str" cm="1">
        <f t="array" ref="L33">_xlfn.IFS(Table1[[#This Row],[Discount Applied]]=TRUE,"Yes",Table1[[#This Row],[Discount Applied]]=FALSE,"No")</f>
        <v>No</v>
      </c>
      <c r="M33" t="str" cm="1">
        <f t="array" ref="M33">_xlfn.IFS(Table1[[#This Row],[Age]]&lt;18,"Under 18",Table1[[#This Row],[Age]]&lt;=23,"18-23",Table1[[#This Row],[Age]]&lt;=29,"24-29",Table1[[#This Row],[Age]]&lt;=35,"30-35",Table1[[#This Row],[Age]]&lt;=41,"36-41",Table1[[#This Row],[Age]]&gt;41,"Over 41")</f>
        <v>30-35</v>
      </c>
      <c r="N33" t="str" cm="1">
        <f t="array" ref="N33">_xlfn.IFS(Table1[[#This Row],[Days Since Last Purchase]]&lt;21,"Active",Table1[[#This Row],[Days Since Last Purchase]]&lt;=42,"Moderately Active",Table1[[#This Row],[Days Since Last Purchase]]&gt;=43, "Inactive")</f>
        <v>Active</v>
      </c>
      <c r="O33">
        <f>IF(K33="Satisfied",1,IF(K33="Neutral",0.5,IF(K33="Unsatisfied",0,IF(Table1[[#This Row],[Satisfaction Level]]="No Response","0"))))</f>
        <v>1</v>
      </c>
    </row>
    <row r="34" spans="1:15" x14ac:dyDescent="0.45">
      <c r="A34">
        <v>133</v>
      </c>
      <c r="B34" t="s">
        <v>11</v>
      </c>
      <c r="C34">
        <v>42</v>
      </c>
      <c r="D34" t="s">
        <v>19</v>
      </c>
      <c r="E34" t="s">
        <v>20</v>
      </c>
      <c r="F34">
        <v>520.4</v>
      </c>
      <c r="G34">
        <v>9</v>
      </c>
      <c r="H34">
        <v>3.5</v>
      </c>
      <c r="I34" t="b">
        <v>1</v>
      </c>
      <c r="J34">
        <v>37</v>
      </c>
      <c r="K34" t="s">
        <v>21</v>
      </c>
      <c r="L34" t="str" cm="1">
        <f t="array" ref="L34">_xlfn.IFS(Table1[[#This Row],[Discount Applied]]=TRUE,"Yes",Table1[[#This Row],[Discount Applied]]=FALSE,"No")</f>
        <v>Yes</v>
      </c>
      <c r="M34" t="str" cm="1">
        <f t="array" ref="M34">_xlfn.IFS(Table1[[#This Row],[Age]]&lt;18,"Under 18",Table1[[#This Row],[Age]]&lt;=23,"18-23",Table1[[#This Row],[Age]]&lt;=29,"24-29",Table1[[#This Row],[Age]]&lt;=35,"30-35",Table1[[#This Row],[Age]]&lt;=41,"36-41",Table1[[#This Row],[Age]]&gt;41,"Over 41")</f>
        <v>Over 41</v>
      </c>
      <c r="N34" t="str" cm="1">
        <f t="array" ref="N34">_xlfn.IFS(Table1[[#This Row],[Days Since Last Purchase]]&lt;21,"Active",Table1[[#This Row],[Days Since Last Purchase]]&lt;=42,"Moderately Active",Table1[[#This Row],[Days Since Last Purchase]]&gt;=43, "Inactive")</f>
        <v>Moderately Active</v>
      </c>
      <c r="O34">
        <f>IF(K34="Satisfied",1,IF(K34="Neutral",0.5,IF(K34="Unsatisfied",0,IF(Table1[[#This Row],[Satisfaction Level]]="No Response","0"))))</f>
        <v>0</v>
      </c>
    </row>
    <row r="35" spans="1:15" x14ac:dyDescent="0.45">
      <c r="A35">
        <v>134</v>
      </c>
      <c r="B35" t="s">
        <v>15</v>
      </c>
      <c r="C35">
        <v>29</v>
      </c>
      <c r="D35" t="s">
        <v>22</v>
      </c>
      <c r="E35" t="s">
        <v>13</v>
      </c>
      <c r="F35">
        <v>1370.2</v>
      </c>
      <c r="G35">
        <v>18</v>
      </c>
      <c r="H35">
        <v>4.7</v>
      </c>
      <c r="I35" t="b">
        <v>0</v>
      </c>
      <c r="J35">
        <v>10</v>
      </c>
      <c r="K35" t="s">
        <v>14</v>
      </c>
      <c r="L35" t="str" cm="1">
        <f t="array" ref="L35">_xlfn.IFS(Table1[[#This Row],[Discount Applied]]=TRUE,"Yes",Table1[[#This Row],[Discount Applied]]=FALSE,"No")</f>
        <v>No</v>
      </c>
      <c r="M35" t="str" cm="1">
        <f t="array" ref="M35">_xlfn.IFS(Table1[[#This Row],[Age]]&lt;18,"Under 18",Table1[[#This Row],[Age]]&lt;=23,"18-23",Table1[[#This Row],[Age]]&lt;=29,"24-29",Table1[[#This Row],[Age]]&lt;=35,"30-35",Table1[[#This Row],[Age]]&lt;=41,"36-41",Table1[[#This Row],[Age]]&gt;41,"Over 41")</f>
        <v>24-29</v>
      </c>
      <c r="N35" t="str" cm="1">
        <f t="array" ref="N35">_xlfn.IFS(Table1[[#This Row],[Days Since Last Purchase]]&lt;21,"Active",Table1[[#This Row],[Days Since Last Purchase]]&lt;=42,"Moderately Active",Table1[[#This Row],[Days Since Last Purchase]]&gt;=43, "Inactive")</f>
        <v>Active</v>
      </c>
      <c r="O35">
        <f>IF(K35="Satisfied",1,IF(K35="Neutral",0.5,IF(K35="Unsatisfied",0,IF(Table1[[#This Row],[Satisfaction Level]]="No Response","0"))))</f>
        <v>1</v>
      </c>
    </row>
    <row r="36" spans="1:15" x14ac:dyDescent="0.45">
      <c r="A36">
        <v>135</v>
      </c>
      <c r="B36" t="s">
        <v>15</v>
      </c>
      <c r="C36">
        <v>26</v>
      </c>
      <c r="D36" t="s">
        <v>23</v>
      </c>
      <c r="E36" t="s">
        <v>17</v>
      </c>
      <c r="F36">
        <v>690.6</v>
      </c>
      <c r="G36">
        <v>12</v>
      </c>
      <c r="H36">
        <v>3.9</v>
      </c>
      <c r="I36" t="b">
        <v>1</v>
      </c>
      <c r="J36">
        <v>47</v>
      </c>
      <c r="K36" t="s">
        <v>21</v>
      </c>
      <c r="L36" t="str" cm="1">
        <f t="array" ref="L36">_xlfn.IFS(Table1[[#This Row],[Discount Applied]]=TRUE,"Yes",Table1[[#This Row],[Discount Applied]]=FALSE,"No")</f>
        <v>Yes</v>
      </c>
      <c r="M36" t="str" cm="1">
        <f t="array" ref="M36">_xlfn.IFS(Table1[[#This Row],[Age]]&lt;18,"Under 18",Table1[[#This Row],[Age]]&lt;=23,"18-23",Table1[[#This Row],[Age]]&lt;=29,"24-29",Table1[[#This Row],[Age]]&lt;=35,"30-35",Table1[[#This Row],[Age]]&lt;=41,"36-41",Table1[[#This Row],[Age]]&gt;41,"Over 41")</f>
        <v>24-29</v>
      </c>
      <c r="N36" t="str" cm="1">
        <f t="array" ref="N36">_xlfn.IFS(Table1[[#This Row],[Days Since Last Purchase]]&lt;21,"Active",Table1[[#This Row],[Days Since Last Purchase]]&lt;=42,"Moderately Active",Table1[[#This Row],[Days Since Last Purchase]]&gt;=43, "Inactive")</f>
        <v>Inactive</v>
      </c>
      <c r="O36">
        <f>IF(K36="Satisfied",1,IF(K36="Neutral",0.5,IF(K36="Unsatisfied",0,IF(Table1[[#This Row],[Satisfaction Level]]="No Response","0"))))</f>
        <v>0</v>
      </c>
    </row>
    <row r="37" spans="1:15" x14ac:dyDescent="0.45">
      <c r="A37">
        <v>136</v>
      </c>
      <c r="B37" t="s">
        <v>11</v>
      </c>
      <c r="C37">
        <v>38</v>
      </c>
      <c r="D37" t="s">
        <v>24</v>
      </c>
      <c r="E37" t="s">
        <v>20</v>
      </c>
      <c r="F37">
        <v>440.9</v>
      </c>
      <c r="G37">
        <v>8</v>
      </c>
      <c r="H37">
        <v>3.2</v>
      </c>
      <c r="I37" t="b">
        <v>0</v>
      </c>
      <c r="J37">
        <v>24</v>
      </c>
      <c r="K37" t="s">
        <v>18</v>
      </c>
      <c r="L37" t="str" cm="1">
        <f t="array" ref="L37">_xlfn.IFS(Table1[[#This Row],[Discount Applied]]=TRUE,"Yes",Table1[[#This Row],[Discount Applied]]=FALSE,"No")</f>
        <v>No</v>
      </c>
      <c r="M37" t="str" cm="1">
        <f t="array" ref="M37">_xlfn.IFS(Table1[[#This Row],[Age]]&lt;18,"Under 18",Table1[[#This Row],[Age]]&lt;=23,"18-23",Table1[[#This Row],[Age]]&lt;=29,"24-29",Table1[[#This Row],[Age]]&lt;=35,"30-35",Table1[[#This Row],[Age]]&lt;=41,"36-41",Table1[[#This Row],[Age]]&gt;41,"Over 41")</f>
        <v>36-41</v>
      </c>
      <c r="N37" t="str" cm="1">
        <f t="array" ref="N37">_xlfn.IFS(Table1[[#This Row],[Days Since Last Purchase]]&lt;21,"Active",Table1[[#This Row],[Days Since Last Purchase]]&lt;=42,"Moderately Active",Table1[[#This Row],[Days Since Last Purchase]]&gt;=43, "Inactive")</f>
        <v>Moderately Active</v>
      </c>
      <c r="O37">
        <f>IF(K37="Satisfied",1,IF(K37="Neutral",0.5,IF(K37="Unsatisfied",0,IF(Table1[[#This Row],[Satisfaction Level]]="No Response","0"))))</f>
        <v>0.5</v>
      </c>
    </row>
    <row r="38" spans="1:15" x14ac:dyDescent="0.45">
      <c r="A38">
        <v>137</v>
      </c>
      <c r="B38" t="s">
        <v>11</v>
      </c>
      <c r="C38">
        <v>32</v>
      </c>
      <c r="D38" t="s">
        <v>12</v>
      </c>
      <c r="E38" t="s">
        <v>13</v>
      </c>
      <c r="F38">
        <v>1160.3</v>
      </c>
      <c r="G38">
        <v>14</v>
      </c>
      <c r="H38">
        <v>4.4000000000000004</v>
      </c>
      <c r="I38" t="b">
        <v>1</v>
      </c>
      <c r="J38">
        <v>22</v>
      </c>
      <c r="K38" t="s">
        <v>14</v>
      </c>
      <c r="L38" t="str" cm="1">
        <f t="array" ref="L38">_xlfn.IFS(Table1[[#This Row],[Discount Applied]]=TRUE,"Yes",Table1[[#This Row],[Discount Applied]]=FALSE,"No")</f>
        <v>Yes</v>
      </c>
      <c r="M38" t="str" cm="1">
        <f t="array" ref="M38">_xlfn.IFS(Table1[[#This Row],[Age]]&lt;18,"Under 18",Table1[[#This Row],[Age]]&lt;=23,"18-23",Table1[[#This Row],[Age]]&lt;=29,"24-29",Table1[[#This Row],[Age]]&lt;=35,"30-35",Table1[[#This Row],[Age]]&lt;=41,"36-41",Table1[[#This Row],[Age]]&gt;41,"Over 41")</f>
        <v>30-35</v>
      </c>
      <c r="N38" t="str" cm="1">
        <f t="array" ref="N38">_xlfn.IFS(Table1[[#This Row],[Days Since Last Purchase]]&lt;21,"Active",Table1[[#This Row],[Days Since Last Purchase]]&lt;=42,"Moderately Active",Table1[[#This Row],[Days Since Last Purchase]]&gt;=43, "Inactive")</f>
        <v>Moderately Active</v>
      </c>
      <c r="O38">
        <f>IF(K38="Satisfied",1,IF(K38="Neutral",0.5,IF(K38="Unsatisfied",0,IF(Table1[[#This Row],[Satisfaction Level]]="No Response","0"))))</f>
        <v>1</v>
      </c>
    </row>
    <row r="39" spans="1:15" x14ac:dyDescent="0.45">
      <c r="A39">
        <v>138</v>
      </c>
      <c r="B39" t="s">
        <v>15</v>
      </c>
      <c r="C39">
        <v>34</v>
      </c>
      <c r="D39" t="s">
        <v>16</v>
      </c>
      <c r="E39" t="s">
        <v>17</v>
      </c>
      <c r="F39">
        <v>800.2</v>
      </c>
      <c r="G39">
        <v>11</v>
      </c>
      <c r="H39">
        <v>4.0999999999999996</v>
      </c>
      <c r="I39" t="b">
        <v>0</v>
      </c>
      <c r="J39">
        <v>17</v>
      </c>
      <c r="K39" t="s">
        <v>18</v>
      </c>
      <c r="L39" t="str" cm="1">
        <f t="array" ref="L39">_xlfn.IFS(Table1[[#This Row],[Discount Applied]]=TRUE,"Yes",Table1[[#This Row],[Discount Applied]]=FALSE,"No")</f>
        <v>No</v>
      </c>
      <c r="M39" t="str" cm="1">
        <f t="array" ref="M39">_xlfn.IFS(Table1[[#This Row],[Age]]&lt;18,"Under 18",Table1[[#This Row],[Age]]&lt;=23,"18-23",Table1[[#This Row],[Age]]&lt;=29,"24-29",Table1[[#This Row],[Age]]&lt;=35,"30-35",Table1[[#This Row],[Age]]&lt;=41,"36-41",Table1[[#This Row],[Age]]&gt;41,"Over 41")</f>
        <v>30-35</v>
      </c>
      <c r="N39" t="str" cm="1">
        <f t="array" ref="N39">_xlfn.IFS(Table1[[#This Row],[Days Since Last Purchase]]&lt;21,"Active",Table1[[#This Row],[Days Since Last Purchase]]&lt;=42,"Moderately Active",Table1[[#This Row],[Days Since Last Purchase]]&gt;=43, "Inactive")</f>
        <v>Active</v>
      </c>
      <c r="O39">
        <f>IF(K39="Satisfied",1,IF(K39="Neutral",0.5,IF(K39="Unsatisfied",0,IF(Table1[[#This Row],[Satisfaction Level]]="No Response","0"))))</f>
        <v>0.5</v>
      </c>
    </row>
    <row r="40" spans="1:15" x14ac:dyDescent="0.45">
      <c r="A40">
        <v>139</v>
      </c>
      <c r="B40" t="s">
        <v>11</v>
      </c>
      <c r="C40">
        <v>43</v>
      </c>
      <c r="D40" t="s">
        <v>19</v>
      </c>
      <c r="E40" t="s">
        <v>20</v>
      </c>
      <c r="F40">
        <v>500.75</v>
      </c>
      <c r="G40">
        <v>10</v>
      </c>
      <c r="H40">
        <v>3.3</v>
      </c>
      <c r="I40" t="b">
        <v>1</v>
      </c>
      <c r="J40">
        <v>40</v>
      </c>
      <c r="K40" t="s">
        <v>21</v>
      </c>
      <c r="L40" t="str" cm="1">
        <f t="array" ref="L40">_xlfn.IFS(Table1[[#This Row],[Discount Applied]]=TRUE,"Yes",Table1[[#This Row],[Discount Applied]]=FALSE,"No")</f>
        <v>Yes</v>
      </c>
      <c r="M40" t="str" cm="1">
        <f t="array" ref="M40">_xlfn.IFS(Table1[[#This Row],[Age]]&lt;18,"Under 18",Table1[[#This Row],[Age]]&lt;=23,"18-23",Table1[[#This Row],[Age]]&lt;=29,"24-29",Table1[[#This Row],[Age]]&lt;=35,"30-35",Table1[[#This Row],[Age]]&lt;=41,"36-41",Table1[[#This Row],[Age]]&gt;41,"Over 41")</f>
        <v>Over 41</v>
      </c>
      <c r="N40" t="str" cm="1">
        <f t="array" ref="N40">_xlfn.IFS(Table1[[#This Row],[Days Since Last Purchase]]&lt;21,"Active",Table1[[#This Row],[Days Since Last Purchase]]&lt;=42,"Moderately Active",Table1[[#This Row],[Days Since Last Purchase]]&gt;=43, "Inactive")</f>
        <v>Moderately Active</v>
      </c>
      <c r="O40">
        <f>IF(K40="Satisfied",1,IF(K40="Neutral",0.5,IF(K40="Unsatisfied",0,IF(Table1[[#This Row],[Satisfaction Level]]="No Response","0"))))</f>
        <v>0</v>
      </c>
    </row>
    <row r="41" spans="1:15" x14ac:dyDescent="0.45">
      <c r="A41">
        <v>140</v>
      </c>
      <c r="B41" t="s">
        <v>15</v>
      </c>
      <c r="C41">
        <v>30</v>
      </c>
      <c r="D41" t="s">
        <v>22</v>
      </c>
      <c r="E41" t="s">
        <v>13</v>
      </c>
      <c r="F41">
        <v>1460.5</v>
      </c>
      <c r="G41">
        <v>20</v>
      </c>
      <c r="H41">
        <v>4.8</v>
      </c>
      <c r="I41" t="b">
        <v>0</v>
      </c>
      <c r="J41">
        <v>12</v>
      </c>
      <c r="K41" t="s">
        <v>14</v>
      </c>
      <c r="L41" t="str" cm="1">
        <f t="array" ref="L41">_xlfn.IFS(Table1[[#This Row],[Discount Applied]]=TRUE,"Yes",Table1[[#This Row],[Discount Applied]]=FALSE,"No")</f>
        <v>No</v>
      </c>
      <c r="M41" t="str" cm="1">
        <f t="array" ref="M41">_xlfn.IFS(Table1[[#This Row],[Age]]&lt;18,"Under 18",Table1[[#This Row],[Age]]&lt;=23,"18-23",Table1[[#This Row],[Age]]&lt;=29,"24-29",Table1[[#This Row],[Age]]&lt;=35,"30-35",Table1[[#This Row],[Age]]&lt;=41,"36-41",Table1[[#This Row],[Age]]&gt;41,"Over 41")</f>
        <v>30-35</v>
      </c>
      <c r="N41" t="str" cm="1">
        <f t="array" ref="N41">_xlfn.IFS(Table1[[#This Row],[Days Since Last Purchase]]&lt;21,"Active",Table1[[#This Row],[Days Since Last Purchase]]&lt;=42,"Moderately Active",Table1[[#This Row],[Days Since Last Purchase]]&gt;=43, "Inactive")</f>
        <v>Active</v>
      </c>
      <c r="O41">
        <f>IF(K41="Satisfied",1,IF(K41="Neutral",0.5,IF(K41="Unsatisfied",0,IF(Table1[[#This Row],[Satisfaction Level]]="No Response","0"))))</f>
        <v>1</v>
      </c>
    </row>
    <row r="42" spans="1:15" x14ac:dyDescent="0.45">
      <c r="A42">
        <v>141</v>
      </c>
      <c r="B42" t="s">
        <v>15</v>
      </c>
      <c r="C42">
        <v>27</v>
      </c>
      <c r="D42" t="s">
        <v>23</v>
      </c>
      <c r="E42" t="s">
        <v>17</v>
      </c>
      <c r="F42">
        <v>700.4</v>
      </c>
      <c r="G42">
        <v>13</v>
      </c>
      <c r="H42">
        <v>4</v>
      </c>
      <c r="I42" t="b">
        <v>1</v>
      </c>
      <c r="J42">
        <v>53</v>
      </c>
      <c r="K42" t="s">
        <v>21</v>
      </c>
      <c r="L42" t="str" cm="1">
        <f t="array" ref="L42">_xlfn.IFS(Table1[[#This Row],[Discount Applied]]=TRUE,"Yes",Table1[[#This Row],[Discount Applied]]=FALSE,"No")</f>
        <v>Yes</v>
      </c>
      <c r="M42" t="str" cm="1">
        <f t="array" ref="M42">_xlfn.IFS(Table1[[#This Row],[Age]]&lt;18,"Under 18",Table1[[#This Row],[Age]]&lt;=23,"18-23",Table1[[#This Row],[Age]]&lt;=29,"24-29",Table1[[#This Row],[Age]]&lt;=35,"30-35",Table1[[#This Row],[Age]]&lt;=41,"36-41",Table1[[#This Row],[Age]]&gt;41,"Over 41")</f>
        <v>24-29</v>
      </c>
      <c r="N42" t="str" cm="1">
        <f t="array" ref="N42">_xlfn.IFS(Table1[[#This Row],[Days Since Last Purchase]]&lt;21,"Active",Table1[[#This Row],[Days Since Last Purchase]]&lt;=42,"Moderately Active",Table1[[#This Row],[Days Since Last Purchase]]&gt;=43, "Inactive")</f>
        <v>Inactive</v>
      </c>
      <c r="O42">
        <f>IF(K42="Satisfied",1,IF(K42="Neutral",0.5,IF(K42="Unsatisfied",0,IF(Table1[[#This Row],[Satisfaction Level]]="No Response","0"))))</f>
        <v>0</v>
      </c>
    </row>
    <row r="43" spans="1:15" x14ac:dyDescent="0.45">
      <c r="A43">
        <v>142</v>
      </c>
      <c r="B43" t="s">
        <v>11</v>
      </c>
      <c r="C43">
        <v>37</v>
      </c>
      <c r="D43" t="s">
        <v>24</v>
      </c>
      <c r="E43" t="s">
        <v>20</v>
      </c>
      <c r="F43">
        <v>420.8</v>
      </c>
      <c r="G43">
        <v>7</v>
      </c>
      <c r="H43">
        <v>3.1</v>
      </c>
      <c r="I43" t="b">
        <v>0</v>
      </c>
      <c r="J43">
        <v>21</v>
      </c>
      <c r="K43" t="s">
        <v>18</v>
      </c>
      <c r="L43" t="str" cm="1">
        <f t="array" ref="L43">_xlfn.IFS(Table1[[#This Row],[Discount Applied]]=TRUE,"Yes",Table1[[#This Row],[Discount Applied]]=FALSE,"No")</f>
        <v>No</v>
      </c>
      <c r="M43" t="str" cm="1">
        <f t="array" ref="M43">_xlfn.IFS(Table1[[#This Row],[Age]]&lt;18,"Under 18",Table1[[#This Row],[Age]]&lt;=23,"18-23",Table1[[#This Row],[Age]]&lt;=29,"24-29",Table1[[#This Row],[Age]]&lt;=35,"30-35",Table1[[#This Row],[Age]]&lt;=41,"36-41",Table1[[#This Row],[Age]]&gt;41,"Over 41")</f>
        <v>36-41</v>
      </c>
      <c r="N43" t="str" cm="1">
        <f t="array" ref="N43">_xlfn.IFS(Table1[[#This Row],[Days Since Last Purchase]]&lt;21,"Active",Table1[[#This Row],[Days Since Last Purchase]]&lt;=42,"Moderately Active",Table1[[#This Row],[Days Since Last Purchase]]&gt;=43, "Inactive")</f>
        <v>Moderately Active</v>
      </c>
      <c r="O43">
        <f>IF(K43="Satisfied",1,IF(K43="Neutral",0.5,IF(K43="Unsatisfied",0,IF(Table1[[#This Row],[Satisfaction Level]]="No Response","0"))))</f>
        <v>0.5</v>
      </c>
    </row>
    <row r="44" spans="1:15" x14ac:dyDescent="0.45">
      <c r="A44">
        <v>143</v>
      </c>
      <c r="B44" t="s">
        <v>11</v>
      </c>
      <c r="C44">
        <v>31</v>
      </c>
      <c r="D44" t="s">
        <v>12</v>
      </c>
      <c r="E44" t="s">
        <v>13</v>
      </c>
      <c r="F44">
        <v>1130.5999999999999</v>
      </c>
      <c r="G44">
        <v>15</v>
      </c>
      <c r="H44">
        <v>4.5</v>
      </c>
      <c r="I44" t="b">
        <v>1</v>
      </c>
      <c r="J44">
        <v>26</v>
      </c>
      <c r="K44" t="s">
        <v>14</v>
      </c>
      <c r="L44" t="str" cm="1">
        <f t="array" ref="L44">_xlfn.IFS(Table1[[#This Row],[Discount Applied]]=TRUE,"Yes",Table1[[#This Row],[Discount Applied]]=FALSE,"No")</f>
        <v>Yes</v>
      </c>
      <c r="M44" t="str" cm="1">
        <f t="array" ref="M44">_xlfn.IFS(Table1[[#This Row],[Age]]&lt;18,"Under 18",Table1[[#This Row],[Age]]&lt;=23,"18-23",Table1[[#This Row],[Age]]&lt;=29,"24-29",Table1[[#This Row],[Age]]&lt;=35,"30-35",Table1[[#This Row],[Age]]&lt;=41,"36-41",Table1[[#This Row],[Age]]&gt;41,"Over 41")</f>
        <v>30-35</v>
      </c>
      <c r="N44" t="str" cm="1">
        <f t="array" ref="N44">_xlfn.IFS(Table1[[#This Row],[Days Since Last Purchase]]&lt;21,"Active",Table1[[#This Row],[Days Since Last Purchase]]&lt;=42,"Moderately Active",Table1[[#This Row],[Days Since Last Purchase]]&gt;=43, "Inactive")</f>
        <v>Moderately Active</v>
      </c>
      <c r="O44">
        <f>IF(K44="Satisfied",1,IF(K44="Neutral",0.5,IF(K44="Unsatisfied",0,IF(Table1[[#This Row],[Satisfaction Level]]="No Response","0"))))</f>
        <v>1</v>
      </c>
    </row>
    <row r="45" spans="1:15" x14ac:dyDescent="0.45">
      <c r="A45">
        <v>144</v>
      </c>
      <c r="B45" t="s">
        <v>15</v>
      </c>
      <c r="C45">
        <v>35</v>
      </c>
      <c r="D45" t="s">
        <v>16</v>
      </c>
      <c r="E45" t="s">
        <v>17</v>
      </c>
      <c r="F45">
        <v>820.9</v>
      </c>
      <c r="G45">
        <v>12</v>
      </c>
      <c r="H45">
        <v>4.3</v>
      </c>
      <c r="I45" t="b">
        <v>0</v>
      </c>
      <c r="J45">
        <v>12</v>
      </c>
      <c r="K45" t="s">
        <v>18</v>
      </c>
      <c r="L45" t="str" cm="1">
        <f t="array" ref="L45">_xlfn.IFS(Table1[[#This Row],[Discount Applied]]=TRUE,"Yes",Table1[[#This Row],[Discount Applied]]=FALSE,"No")</f>
        <v>No</v>
      </c>
      <c r="M45" t="str" cm="1">
        <f t="array" ref="M45">_xlfn.IFS(Table1[[#This Row],[Age]]&lt;18,"Under 18",Table1[[#This Row],[Age]]&lt;=23,"18-23",Table1[[#This Row],[Age]]&lt;=29,"24-29",Table1[[#This Row],[Age]]&lt;=35,"30-35",Table1[[#This Row],[Age]]&lt;=41,"36-41",Table1[[#This Row],[Age]]&gt;41,"Over 41")</f>
        <v>30-35</v>
      </c>
      <c r="N45" t="str" cm="1">
        <f t="array" ref="N45">_xlfn.IFS(Table1[[#This Row],[Days Since Last Purchase]]&lt;21,"Active",Table1[[#This Row],[Days Since Last Purchase]]&lt;=42,"Moderately Active",Table1[[#This Row],[Days Since Last Purchase]]&gt;=43, "Inactive")</f>
        <v>Active</v>
      </c>
      <c r="O45">
        <f>IF(K45="Satisfied",1,IF(K45="Neutral",0.5,IF(K45="Unsatisfied",0,IF(Table1[[#This Row],[Satisfaction Level]]="No Response","0"))))</f>
        <v>0.5</v>
      </c>
    </row>
    <row r="46" spans="1:15" x14ac:dyDescent="0.45">
      <c r="A46">
        <v>145</v>
      </c>
      <c r="B46" t="s">
        <v>11</v>
      </c>
      <c r="C46">
        <v>41</v>
      </c>
      <c r="D46" t="s">
        <v>19</v>
      </c>
      <c r="E46" t="s">
        <v>20</v>
      </c>
      <c r="F46">
        <v>480.25</v>
      </c>
      <c r="G46">
        <v>9</v>
      </c>
      <c r="H46">
        <v>3.6</v>
      </c>
      <c r="I46" t="b">
        <v>1</v>
      </c>
      <c r="J46">
        <v>38</v>
      </c>
      <c r="K46" t="s">
        <v>21</v>
      </c>
      <c r="L46" t="str" cm="1">
        <f t="array" ref="L46">_xlfn.IFS(Table1[[#This Row],[Discount Applied]]=TRUE,"Yes",Table1[[#This Row],[Discount Applied]]=FALSE,"No")</f>
        <v>Yes</v>
      </c>
      <c r="M46" t="str" cm="1">
        <f t="array" ref="M46">_xlfn.IFS(Table1[[#This Row],[Age]]&lt;18,"Under 18",Table1[[#This Row],[Age]]&lt;=23,"18-23",Table1[[#This Row],[Age]]&lt;=29,"24-29",Table1[[#This Row],[Age]]&lt;=35,"30-35",Table1[[#This Row],[Age]]&lt;=41,"36-41",Table1[[#This Row],[Age]]&gt;41,"Over 41")</f>
        <v>36-41</v>
      </c>
      <c r="N46" t="str" cm="1">
        <f t="array" ref="N46">_xlfn.IFS(Table1[[#This Row],[Days Since Last Purchase]]&lt;21,"Active",Table1[[#This Row],[Days Since Last Purchase]]&lt;=42,"Moderately Active",Table1[[#This Row],[Days Since Last Purchase]]&gt;=43, "Inactive")</f>
        <v>Moderately Active</v>
      </c>
      <c r="O46">
        <f>IF(K46="Satisfied",1,IF(K46="Neutral",0.5,IF(K46="Unsatisfied",0,IF(Table1[[#This Row],[Satisfaction Level]]="No Response","0"))))</f>
        <v>0</v>
      </c>
    </row>
    <row r="47" spans="1:15" x14ac:dyDescent="0.45">
      <c r="A47">
        <v>146</v>
      </c>
      <c r="B47" t="s">
        <v>15</v>
      </c>
      <c r="C47">
        <v>28</v>
      </c>
      <c r="D47" t="s">
        <v>22</v>
      </c>
      <c r="E47" t="s">
        <v>13</v>
      </c>
      <c r="F47">
        <v>1490.1</v>
      </c>
      <c r="G47">
        <v>21</v>
      </c>
      <c r="H47">
        <v>4.9000000000000004</v>
      </c>
      <c r="I47" t="b">
        <v>0</v>
      </c>
      <c r="J47">
        <v>9</v>
      </c>
      <c r="K47" t="s">
        <v>14</v>
      </c>
      <c r="L47" t="str" cm="1">
        <f t="array" ref="L47">_xlfn.IFS(Table1[[#This Row],[Discount Applied]]=TRUE,"Yes",Table1[[#This Row],[Discount Applied]]=FALSE,"No")</f>
        <v>No</v>
      </c>
      <c r="M47" t="str" cm="1">
        <f t="array" ref="M47">_xlfn.IFS(Table1[[#This Row],[Age]]&lt;18,"Under 18",Table1[[#This Row],[Age]]&lt;=23,"18-23",Table1[[#This Row],[Age]]&lt;=29,"24-29",Table1[[#This Row],[Age]]&lt;=35,"30-35",Table1[[#This Row],[Age]]&lt;=41,"36-41",Table1[[#This Row],[Age]]&gt;41,"Over 41")</f>
        <v>24-29</v>
      </c>
      <c r="N47" t="str" cm="1">
        <f t="array" ref="N47">_xlfn.IFS(Table1[[#This Row],[Days Since Last Purchase]]&lt;21,"Active",Table1[[#This Row],[Days Since Last Purchase]]&lt;=42,"Moderately Active",Table1[[#This Row],[Days Since Last Purchase]]&gt;=43, "Inactive")</f>
        <v>Active</v>
      </c>
      <c r="O47">
        <f>IF(K47="Satisfied",1,IF(K47="Neutral",0.5,IF(K47="Unsatisfied",0,IF(Table1[[#This Row],[Satisfaction Level]]="No Response","0"))))</f>
        <v>1</v>
      </c>
    </row>
    <row r="48" spans="1:15" x14ac:dyDescent="0.45">
      <c r="A48">
        <v>147</v>
      </c>
      <c r="B48" t="s">
        <v>15</v>
      </c>
      <c r="C48">
        <v>32</v>
      </c>
      <c r="D48" t="s">
        <v>23</v>
      </c>
      <c r="E48" t="s">
        <v>17</v>
      </c>
      <c r="F48">
        <v>680.3</v>
      </c>
      <c r="G48">
        <v>10</v>
      </c>
      <c r="H48">
        <v>3.8</v>
      </c>
      <c r="I48" t="b">
        <v>1</v>
      </c>
      <c r="J48">
        <v>32</v>
      </c>
      <c r="K48" t="s">
        <v>21</v>
      </c>
      <c r="L48" t="str" cm="1">
        <f t="array" ref="L48">_xlfn.IFS(Table1[[#This Row],[Discount Applied]]=TRUE,"Yes",Table1[[#This Row],[Discount Applied]]=FALSE,"No")</f>
        <v>Yes</v>
      </c>
      <c r="M48" t="str" cm="1">
        <f t="array" ref="M48">_xlfn.IFS(Table1[[#This Row],[Age]]&lt;18,"Under 18",Table1[[#This Row],[Age]]&lt;=23,"18-23",Table1[[#This Row],[Age]]&lt;=29,"24-29",Table1[[#This Row],[Age]]&lt;=35,"30-35",Table1[[#This Row],[Age]]&lt;=41,"36-41",Table1[[#This Row],[Age]]&gt;41,"Over 41")</f>
        <v>30-35</v>
      </c>
      <c r="N48" t="str" cm="1">
        <f t="array" ref="N48">_xlfn.IFS(Table1[[#This Row],[Days Since Last Purchase]]&lt;21,"Active",Table1[[#This Row],[Days Since Last Purchase]]&lt;=42,"Moderately Active",Table1[[#This Row],[Days Since Last Purchase]]&gt;=43, "Inactive")</f>
        <v>Moderately Active</v>
      </c>
      <c r="O48">
        <f>IF(K48="Satisfied",1,IF(K48="Neutral",0.5,IF(K48="Unsatisfied",0,IF(Table1[[#This Row],[Satisfaction Level]]="No Response","0"))))</f>
        <v>0</v>
      </c>
    </row>
    <row r="49" spans="1:15" x14ac:dyDescent="0.45">
      <c r="A49">
        <v>148</v>
      </c>
      <c r="B49" t="s">
        <v>11</v>
      </c>
      <c r="C49">
        <v>36</v>
      </c>
      <c r="D49" t="s">
        <v>24</v>
      </c>
      <c r="E49" t="s">
        <v>20</v>
      </c>
      <c r="F49">
        <v>470.5</v>
      </c>
      <c r="G49">
        <v>8</v>
      </c>
      <c r="H49">
        <v>3</v>
      </c>
      <c r="I49" t="b">
        <v>0</v>
      </c>
      <c r="J49">
        <v>18</v>
      </c>
      <c r="K49" t="s">
        <v>18</v>
      </c>
      <c r="L49" t="str" cm="1">
        <f t="array" ref="L49">_xlfn.IFS(Table1[[#This Row],[Discount Applied]]=TRUE,"Yes",Table1[[#This Row],[Discount Applied]]=FALSE,"No")</f>
        <v>No</v>
      </c>
      <c r="M49" t="str" cm="1">
        <f t="array" ref="M49">_xlfn.IFS(Table1[[#This Row],[Age]]&lt;18,"Under 18",Table1[[#This Row],[Age]]&lt;=23,"18-23",Table1[[#This Row],[Age]]&lt;=29,"24-29",Table1[[#This Row],[Age]]&lt;=35,"30-35",Table1[[#This Row],[Age]]&lt;=41,"36-41",Table1[[#This Row],[Age]]&gt;41,"Over 41")</f>
        <v>36-41</v>
      </c>
      <c r="N49" t="str" cm="1">
        <f t="array" ref="N49">_xlfn.IFS(Table1[[#This Row],[Days Since Last Purchase]]&lt;21,"Active",Table1[[#This Row],[Days Since Last Purchase]]&lt;=42,"Moderately Active",Table1[[#This Row],[Days Since Last Purchase]]&gt;=43, "Inactive")</f>
        <v>Active</v>
      </c>
      <c r="O49">
        <f>IF(K49="Satisfied",1,IF(K49="Neutral",0.5,IF(K49="Unsatisfied",0,IF(Table1[[#This Row],[Satisfaction Level]]="No Response","0"))))</f>
        <v>0.5</v>
      </c>
    </row>
    <row r="50" spans="1:15" x14ac:dyDescent="0.45">
      <c r="A50">
        <v>149</v>
      </c>
      <c r="B50" t="s">
        <v>11</v>
      </c>
      <c r="C50">
        <v>30</v>
      </c>
      <c r="D50" t="s">
        <v>12</v>
      </c>
      <c r="E50" t="s">
        <v>13</v>
      </c>
      <c r="F50">
        <v>1180.8</v>
      </c>
      <c r="G50">
        <v>16</v>
      </c>
      <c r="H50">
        <v>4.7</v>
      </c>
      <c r="I50" t="b">
        <v>1</v>
      </c>
      <c r="J50">
        <v>19</v>
      </c>
      <c r="K50" t="s">
        <v>14</v>
      </c>
      <c r="L50" t="str" cm="1">
        <f t="array" ref="L50">_xlfn.IFS(Table1[[#This Row],[Discount Applied]]=TRUE,"Yes",Table1[[#This Row],[Discount Applied]]=FALSE,"No")</f>
        <v>Yes</v>
      </c>
      <c r="M50" t="str" cm="1">
        <f t="array" ref="M50">_xlfn.IFS(Table1[[#This Row],[Age]]&lt;18,"Under 18",Table1[[#This Row],[Age]]&lt;=23,"18-23",Table1[[#This Row],[Age]]&lt;=29,"24-29",Table1[[#This Row],[Age]]&lt;=35,"30-35",Table1[[#This Row],[Age]]&lt;=41,"36-41",Table1[[#This Row],[Age]]&gt;41,"Over 41")</f>
        <v>30-35</v>
      </c>
      <c r="N50" t="str" cm="1">
        <f t="array" ref="N50">_xlfn.IFS(Table1[[#This Row],[Days Since Last Purchase]]&lt;21,"Active",Table1[[#This Row],[Days Since Last Purchase]]&lt;=42,"Moderately Active",Table1[[#This Row],[Days Since Last Purchase]]&gt;=43, "Inactive")</f>
        <v>Active</v>
      </c>
      <c r="O50">
        <f>IF(K50="Satisfied",1,IF(K50="Neutral",0.5,IF(K50="Unsatisfied",0,IF(Table1[[#This Row],[Satisfaction Level]]="No Response","0"))))</f>
        <v>1</v>
      </c>
    </row>
    <row r="51" spans="1:15" x14ac:dyDescent="0.45">
      <c r="A51">
        <v>150</v>
      </c>
      <c r="B51" t="s">
        <v>15</v>
      </c>
      <c r="C51">
        <v>34</v>
      </c>
      <c r="D51" t="s">
        <v>16</v>
      </c>
      <c r="E51" t="s">
        <v>17</v>
      </c>
      <c r="F51">
        <v>790.2</v>
      </c>
      <c r="G51">
        <v>11</v>
      </c>
      <c r="H51">
        <v>4</v>
      </c>
      <c r="I51" t="b">
        <v>0</v>
      </c>
      <c r="J51">
        <v>15</v>
      </c>
      <c r="K51" t="s">
        <v>18</v>
      </c>
      <c r="L51" t="str" cm="1">
        <f t="array" ref="L51">_xlfn.IFS(Table1[[#This Row],[Discount Applied]]=TRUE,"Yes",Table1[[#This Row],[Discount Applied]]=FALSE,"No")</f>
        <v>No</v>
      </c>
      <c r="M51" t="str" cm="1">
        <f t="array" ref="M51">_xlfn.IFS(Table1[[#This Row],[Age]]&lt;18,"Under 18",Table1[[#This Row],[Age]]&lt;=23,"18-23",Table1[[#This Row],[Age]]&lt;=29,"24-29",Table1[[#This Row],[Age]]&lt;=35,"30-35",Table1[[#This Row],[Age]]&lt;=41,"36-41",Table1[[#This Row],[Age]]&gt;41,"Over 41")</f>
        <v>30-35</v>
      </c>
      <c r="N51" t="str" cm="1">
        <f t="array" ref="N51">_xlfn.IFS(Table1[[#This Row],[Days Since Last Purchase]]&lt;21,"Active",Table1[[#This Row],[Days Since Last Purchase]]&lt;=42,"Moderately Active",Table1[[#This Row],[Days Since Last Purchase]]&gt;=43, "Inactive")</f>
        <v>Active</v>
      </c>
      <c r="O51">
        <f>IF(K51="Satisfied",1,IF(K51="Neutral",0.5,IF(K51="Unsatisfied",0,IF(Table1[[#This Row],[Satisfaction Level]]="No Response","0"))))</f>
        <v>0.5</v>
      </c>
    </row>
    <row r="52" spans="1:15" x14ac:dyDescent="0.45">
      <c r="A52">
        <v>151</v>
      </c>
      <c r="B52" t="s">
        <v>11</v>
      </c>
      <c r="C52">
        <v>43</v>
      </c>
      <c r="D52" t="s">
        <v>19</v>
      </c>
      <c r="E52" t="s">
        <v>20</v>
      </c>
      <c r="F52">
        <v>505.75</v>
      </c>
      <c r="G52">
        <v>10</v>
      </c>
      <c r="H52">
        <v>3.3</v>
      </c>
      <c r="I52" t="b">
        <v>1</v>
      </c>
      <c r="J52">
        <v>39</v>
      </c>
      <c r="K52" t="s">
        <v>21</v>
      </c>
      <c r="L52" t="str" cm="1">
        <f t="array" ref="L52">_xlfn.IFS(Table1[[#This Row],[Discount Applied]]=TRUE,"Yes",Table1[[#This Row],[Discount Applied]]=FALSE,"No")</f>
        <v>Yes</v>
      </c>
      <c r="M52" t="str" cm="1">
        <f t="array" ref="M52">_xlfn.IFS(Table1[[#This Row],[Age]]&lt;18,"Under 18",Table1[[#This Row],[Age]]&lt;=23,"18-23",Table1[[#This Row],[Age]]&lt;=29,"24-29",Table1[[#This Row],[Age]]&lt;=35,"30-35",Table1[[#This Row],[Age]]&lt;=41,"36-41",Table1[[#This Row],[Age]]&gt;41,"Over 41")</f>
        <v>Over 41</v>
      </c>
      <c r="N52" t="str" cm="1">
        <f t="array" ref="N52">_xlfn.IFS(Table1[[#This Row],[Days Since Last Purchase]]&lt;21,"Active",Table1[[#This Row],[Days Since Last Purchase]]&lt;=42,"Moderately Active",Table1[[#This Row],[Days Since Last Purchase]]&gt;=43, "Inactive")</f>
        <v>Moderately Active</v>
      </c>
      <c r="O52">
        <f>IF(K52="Satisfied",1,IF(K52="Neutral",0.5,IF(K52="Unsatisfied",0,IF(Table1[[#This Row],[Satisfaction Level]]="No Response","0"))))</f>
        <v>0</v>
      </c>
    </row>
    <row r="53" spans="1:15" x14ac:dyDescent="0.45">
      <c r="A53">
        <v>152</v>
      </c>
      <c r="B53" t="s">
        <v>15</v>
      </c>
      <c r="C53">
        <v>30</v>
      </c>
      <c r="D53" t="s">
        <v>22</v>
      </c>
      <c r="E53" t="s">
        <v>13</v>
      </c>
      <c r="F53">
        <v>1470.5</v>
      </c>
      <c r="G53">
        <v>20</v>
      </c>
      <c r="H53">
        <v>4.8</v>
      </c>
      <c r="I53" t="b">
        <v>0</v>
      </c>
      <c r="J53">
        <v>13</v>
      </c>
      <c r="K53" t="s">
        <v>14</v>
      </c>
      <c r="L53" t="str" cm="1">
        <f t="array" ref="L53">_xlfn.IFS(Table1[[#This Row],[Discount Applied]]=TRUE,"Yes",Table1[[#This Row],[Discount Applied]]=FALSE,"No")</f>
        <v>No</v>
      </c>
      <c r="M53" t="str" cm="1">
        <f t="array" ref="M53">_xlfn.IFS(Table1[[#This Row],[Age]]&lt;18,"Under 18",Table1[[#This Row],[Age]]&lt;=23,"18-23",Table1[[#This Row],[Age]]&lt;=29,"24-29",Table1[[#This Row],[Age]]&lt;=35,"30-35",Table1[[#This Row],[Age]]&lt;=41,"36-41",Table1[[#This Row],[Age]]&gt;41,"Over 41")</f>
        <v>30-35</v>
      </c>
      <c r="N53" t="str" cm="1">
        <f t="array" ref="N53">_xlfn.IFS(Table1[[#This Row],[Days Since Last Purchase]]&lt;21,"Active",Table1[[#This Row],[Days Since Last Purchase]]&lt;=42,"Moderately Active",Table1[[#This Row],[Days Since Last Purchase]]&gt;=43, "Inactive")</f>
        <v>Active</v>
      </c>
      <c r="O53">
        <f>IF(K53="Satisfied",1,IF(K53="Neutral",0.5,IF(K53="Unsatisfied",0,IF(Table1[[#This Row],[Satisfaction Level]]="No Response","0"))))</f>
        <v>1</v>
      </c>
    </row>
    <row r="54" spans="1:15" x14ac:dyDescent="0.45">
      <c r="A54">
        <v>153</v>
      </c>
      <c r="B54" t="s">
        <v>15</v>
      </c>
      <c r="C54">
        <v>27</v>
      </c>
      <c r="D54" t="s">
        <v>23</v>
      </c>
      <c r="E54" t="s">
        <v>17</v>
      </c>
      <c r="F54">
        <v>710.4</v>
      </c>
      <c r="G54">
        <v>13</v>
      </c>
      <c r="H54">
        <v>4.0999999999999996</v>
      </c>
      <c r="I54" t="b">
        <v>1</v>
      </c>
      <c r="J54">
        <v>54</v>
      </c>
      <c r="K54" t="s">
        <v>21</v>
      </c>
      <c r="L54" t="str" cm="1">
        <f t="array" ref="L54">_xlfn.IFS(Table1[[#This Row],[Discount Applied]]=TRUE,"Yes",Table1[[#This Row],[Discount Applied]]=FALSE,"No")</f>
        <v>Yes</v>
      </c>
      <c r="M54" t="str" cm="1">
        <f t="array" ref="M54">_xlfn.IFS(Table1[[#This Row],[Age]]&lt;18,"Under 18",Table1[[#This Row],[Age]]&lt;=23,"18-23",Table1[[#This Row],[Age]]&lt;=29,"24-29",Table1[[#This Row],[Age]]&lt;=35,"30-35",Table1[[#This Row],[Age]]&lt;=41,"36-41",Table1[[#This Row],[Age]]&gt;41,"Over 41")</f>
        <v>24-29</v>
      </c>
      <c r="N54" t="str" cm="1">
        <f t="array" ref="N54">_xlfn.IFS(Table1[[#This Row],[Days Since Last Purchase]]&lt;21,"Active",Table1[[#This Row],[Days Since Last Purchase]]&lt;=42,"Moderately Active",Table1[[#This Row],[Days Since Last Purchase]]&gt;=43, "Inactive")</f>
        <v>Inactive</v>
      </c>
      <c r="O54">
        <f>IF(K54="Satisfied",1,IF(K54="Neutral",0.5,IF(K54="Unsatisfied",0,IF(Table1[[#This Row],[Satisfaction Level]]="No Response","0"))))</f>
        <v>0</v>
      </c>
    </row>
    <row r="55" spans="1:15" x14ac:dyDescent="0.45">
      <c r="A55">
        <v>154</v>
      </c>
      <c r="B55" t="s">
        <v>11</v>
      </c>
      <c r="C55">
        <v>37</v>
      </c>
      <c r="D55" t="s">
        <v>24</v>
      </c>
      <c r="E55" t="s">
        <v>20</v>
      </c>
      <c r="F55">
        <v>430.8</v>
      </c>
      <c r="G55">
        <v>7</v>
      </c>
      <c r="H55">
        <v>3.4</v>
      </c>
      <c r="I55" t="b">
        <v>0</v>
      </c>
      <c r="J55">
        <v>23</v>
      </c>
      <c r="K55" t="s">
        <v>18</v>
      </c>
      <c r="L55" t="str" cm="1">
        <f t="array" ref="L55">_xlfn.IFS(Table1[[#This Row],[Discount Applied]]=TRUE,"Yes",Table1[[#This Row],[Discount Applied]]=FALSE,"No")</f>
        <v>No</v>
      </c>
      <c r="M55" t="str" cm="1">
        <f t="array" ref="M55">_xlfn.IFS(Table1[[#This Row],[Age]]&lt;18,"Under 18",Table1[[#This Row],[Age]]&lt;=23,"18-23",Table1[[#This Row],[Age]]&lt;=29,"24-29",Table1[[#This Row],[Age]]&lt;=35,"30-35",Table1[[#This Row],[Age]]&lt;=41,"36-41",Table1[[#This Row],[Age]]&gt;41,"Over 41")</f>
        <v>36-41</v>
      </c>
      <c r="N55" t="str" cm="1">
        <f t="array" ref="N55">_xlfn.IFS(Table1[[#This Row],[Days Since Last Purchase]]&lt;21,"Active",Table1[[#This Row],[Days Since Last Purchase]]&lt;=42,"Moderately Active",Table1[[#This Row],[Days Since Last Purchase]]&gt;=43, "Inactive")</f>
        <v>Moderately Active</v>
      </c>
      <c r="O55">
        <f>IF(K55="Satisfied",1,IF(K55="Neutral",0.5,IF(K55="Unsatisfied",0,IF(Table1[[#This Row],[Satisfaction Level]]="No Response","0"))))</f>
        <v>0.5</v>
      </c>
    </row>
    <row r="56" spans="1:15" x14ac:dyDescent="0.45">
      <c r="A56">
        <v>155</v>
      </c>
      <c r="B56" t="s">
        <v>11</v>
      </c>
      <c r="C56">
        <v>31</v>
      </c>
      <c r="D56" t="s">
        <v>12</v>
      </c>
      <c r="E56" t="s">
        <v>13</v>
      </c>
      <c r="F56">
        <v>1140.5999999999999</v>
      </c>
      <c r="G56">
        <v>15</v>
      </c>
      <c r="H56">
        <v>4.5999999999999996</v>
      </c>
      <c r="I56" t="b">
        <v>1</v>
      </c>
      <c r="J56">
        <v>27</v>
      </c>
      <c r="K56" t="s">
        <v>14</v>
      </c>
      <c r="L56" t="str" cm="1">
        <f t="array" ref="L56">_xlfn.IFS(Table1[[#This Row],[Discount Applied]]=TRUE,"Yes",Table1[[#This Row],[Discount Applied]]=FALSE,"No")</f>
        <v>Yes</v>
      </c>
      <c r="M56" t="str" cm="1">
        <f t="array" ref="M56">_xlfn.IFS(Table1[[#This Row],[Age]]&lt;18,"Under 18",Table1[[#This Row],[Age]]&lt;=23,"18-23",Table1[[#This Row],[Age]]&lt;=29,"24-29",Table1[[#This Row],[Age]]&lt;=35,"30-35",Table1[[#This Row],[Age]]&lt;=41,"36-41",Table1[[#This Row],[Age]]&gt;41,"Over 41")</f>
        <v>30-35</v>
      </c>
      <c r="N56" t="str" cm="1">
        <f t="array" ref="N56">_xlfn.IFS(Table1[[#This Row],[Days Since Last Purchase]]&lt;21,"Active",Table1[[#This Row],[Days Since Last Purchase]]&lt;=42,"Moderately Active",Table1[[#This Row],[Days Since Last Purchase]]&gt;=43, "Inactive")</f>
        <v>Moderately Active</v>
      </c>
      <c r="O56">
        <f>IF(K56="Satisfied",1,IF(K56="Neutral",0.5,IF(K56="Unsatisfied",0,IF(Table1[[#This Row],[Satisfaction Level]]="No Response","0"))))</f>
        <v>1</v>
      </c>
    </row>
    <row r="57" spans="1:15" x14ac:dyDescent="0.45">
      <c r="A57">
        <v>156</v>
      </c>
      <c r="B57" t="s">
        <v>15</v>
      </c>
      <c r="C57">
        <v>35</v>
      </c>
      <c r="D57" t="s">
        <v>16</v>
      </c>
      <c r="E57" t="s">
        <v>17</v>
      </c>
      <c r="F57">
        <v>810.9</v>
      </c>
      <c r="G57">
        <v>12</v>
      </c>
      <c r="H57">
        <v>4.3</v>
      </c>
      <c r="I57" t="b">
        <v>0</v>
      </c>
      <c r="J57">
        <v>13</v>
      </c>
      <c r="K57" t="s">
        <v>18</v>
      </c>
      <c r="L57" t="str" cm="1">
        <f t="array" ref="L57">_xlfn.IFS(Table1[[#This Row],[Discount Applied]]=TRUE,"Yes",Table1[[#This Row],[Discount Applied]]=FALSE,"No")</f>
        <v>No</v>
      </c>
      <c r="M57" t="str" cm="1">
        <f t="array" ref="M57">_xlfn.IFS(Table1[[#This Row],[Age]]&lt;18,"Under 18",Table1[[#This Row],[Age]]&lt;=23,"18-23",Table1[[#This Row],[Age]]&lt;=29,"24-29",Table1[[#This Row],[Age]]&lt;=35,"30-35",Table1[[#This Row],[Age]]&lt;=41,"36-41",Table1[[#This Row],[Age]]&gt;41,"Over 41")</f>
        <v>30-35</v>
      </c>
      <c r="N57" t="str" cm="1">
        <f t="array" ref="N57">_xlfn.IFS(Table1[[#This Row],[Days Since Last Purchase]]&lt;21,"Active",Table1[[#This Row],[Days Since Last Purchase]]&lt;=42,"Moderately Active",Table1[[#This Row],[Days Since Last Purchase]]&gt;=43, "Inactive")</f>
        <v>Active</v>
      </c>
      <c r="O57">
        <f>IF(K57="Satisfied",1,IF(K57="Neutral",0.5,IF(K57="Unsatisfied",0,IF(Table1[[#This Row],[Satisfaction Level]]="No Response","0"))))</f>
        <v>0.5</v>
      </c>
    </row>
    <row r="58" spans="1:15" x14ac:dyDescent="0.45">
      <c r="A58">
        <v>157</v>
      </c>
      <c r="B58" t="s">
        <v>11</v>
      </c>
      <c r="C58">
        <v>41</v>
      </c>
      <c r="D58" t="s">
        <v>19</v>
      </c>
      <c r="E58" t="s">
        <v>20</v>
      </c>
      <c r="F58">
        <v>485.25</v>
      </c>
      <c r="G58">
        <v>9</v>
      </c>
      <c r="H58">
        <v>3.6</v>
      </c>
      <c r="I58" t="b">
        <v>1</v>
      </c>
      <c r="J58">
        <v>39</v>
      </c>
      <c r="K58" t="s">
        <v>21</v>
      </c>
      <c r="L58" t="str" cm="1">
        <f t="array" ref="L58">_xlfn.IFS(Table1[[#This Row],[Discount Applied]]=TRUE,"Yes",Table1[[#This Row],[Discount Applied]]=FALSE,"No")</f>
        <v>Yes</v>
      </c>
      <c r="M58" t="str" cm="1">
        <f t="array" ref="M58">_xlfn.IFS(Table1[[#This Row],[Age]]&lt;18,"Under 18",Table1[[#This Row],[Age]]&lt;=23,"18-23",Table1[[#This Row],[Age]]&lt;=29,"24-29",Table1[[#This Row],[Age]]&lt;=35,"30-35",Table1[[#This Row],[Age]]&lt;=41,"36-41",Table1[[#This Row],[Age]]&gt;41,"Over 41")</f>
        <v>36-41</v>
      </c>
      <c r="N58" t="str" cm="1">
        <f t="array" ref="N58">_xlfn.IFS(Table1[[#This Row],[Days Since Last Purchase]]&lt;21,"Active",Table1[[#This Row],[Days Since Last Purchase]]&lt;=42,"Moderately Active",Table1[[#This Row],[Days Since Last Purchase]]&gt;=43, "Inactive")</f>
        <v>Moderately Active</v>
      </c>
      <c r="O58">
        <f>IF(K58="Satisfied",1,IF(K58="Neutral",0.5,IF(K58="Unsatisfied",0,IF(Table1[[#This Row],[Satisfaction Level]]="No Response","0"))))</f>
        <v>0</v>
      </c>
    </row>
    <row r="59" spans="1:15" x14ac:dyDescent="0.45">
      <c r="A59">
        <v>158</v>
      </c>
      <c r="B59" t="s">
        <v>15</v>
      </c>
      <c r="C59">
        <v>28</v>
      </c>
      <c r="D59" t="s">
        <v>22</v>
      </c>
      <c r="E59" t="s">
        <v>13</v>
      </c>
      <c r="F59">
        <v>1500.1</v>
      </c>
      <c r="G59">
        <v>21</v>
      </c>
      <c r="H59">
        <v>4.9000000000000004</v>
      </c>
      <c r="I59" t="b">
        <v>0</v>
      </c>
      <c r="J59">
        <v>10</v>
      </c>
      <c r="K59" t="s">
        <v>14</v>
      </c>
      <c r="L59" t="str" cm="1">
        <f t="array" ref="L59">_xlfn.IFS(Table1[[#This Row],[Discount Applied]]=TRUE,"Yes",Table1[[#This Row],[Discount Applied]]=FALSE,"No")</f>
        <v>No</v>
      </c>
      <c r="M59" t="str" cm="1">
        <f t="array" ref="M59">_xlfn.IFS(Table1[[#This Row],[Age]]&lt;18,"Under 18",Table1[[#This Row],[Age]]&lt;=23,"18-23",Table1[[#This Row],[Age]]&lt;=29,"24-29",Table1[[#This Row],[Age]]&lt;=35,"30-35",Table1[[#This Row],[Age]]&lt;=41,"36-41",Table1[[#This Row],[Age]]&gt;41,"Over 41")</f>
        <v>24-29</v>
      </c>
      <c r="N59" t="str" cm="1">
        <f t="array" ref="N59">_xlfn.IFS(Table1[[#This Row],[Days Since Last Purchase]]&lt;21,"Active",Table1[[#This Row],[Days Since Last Purchase]]&lt;=42,"Moderately Active",Table1[[#This Row],[Days Since Last Purchase]]&gt;=43, "Inactive")</f>
        <v>Active</v>
      </c>
      <c r="O59">
        <f>IF(K59="Satisfied",1,IF(K59="Neutral",0.5,IF(K59="Unsatisfied",0,IF(Table1[[#This Row],[Satisfaction Level]]="No Response","0"))))</f>
        <v>1</v>
      </c>
    </row>
    <row r="60" spans="1:15" x14ac:dyDescent="0.45">
      <c r="A60">
        <v>159</v>
      </c>
      <c r="B60" t="s">
        <v>15</v>
      </c>
      <c r="C60">
        <v>32</v>
      </c>
      <c r="D60" t="s">
        <v>23</v>
      </c>
      <c r="E60" t="s">
        <v>17</v>
      </c>
      <c r="F60">
        <v>670.3</v>
      </c>
      <c r="G60">
        <v>10</v>
      </c>
      <c r="H60">
        <v>3.8</v>
      </c>
      <c r="I60" t="b">
        <v>1</v>
      </c>
      <c r="J60">
        <v>33</v>
      </c>
      <c r="K60" t="s">
        <v>21</v>
      </c>
      <c r="L60" t="str" cm="1">
        <f t="array" ref="L60">_xlfn.IFS(Table1[[#This Row],[Discount Applied]]=TRUE,"Yes",Table1[[#This Row],[Discount Applied]]=FALSE,"No")</f>
        <v>Yes</v>
      </c>
      <c r="M60" t="str" cm="1">
        <f t="array" ref="M60">_xlfn.IFS(Table1[[#This Row],[Age]]&lt;18,"Under 18",Table1[[#This Row],[Age]]&lt;=23,"18-23",Table1[[#This Row],[Age]]&lt;=29,"24-29",Table1[[#This Row],[Age]]&lt;=35,"30-35",Table1[[#This Row],[Age]]&lt;=41,"36-41",Table1[[#This Row],[Age]]&gt;41,"Over 41")</f>
        <v>30-35</v>
      </c>
      <c r="N60" t="str" cm="1">
        <f t="array" ref="N60">_xlfn.IFS(Table1[[#This Row],[Days Since Last Purchase]]&lt;21,"Active",Table1[[#This Row],[Days Since Last Purchase]]&lt;=42,"Moderately Active",Table1[[#This Row],[Days Since Last Purchase]]&gt;=43, "Inactive")</f>
        <v>Moderately Active</v>
      </c>
      <c r="O60">
        <f>IF(K60="Satisfied",1,IF(K60="Neutral",0.5,IF(K60="Unsatisfied",0,IF(Table1[[#This Row],[Satisfaction Level]]="No Response","0"))))</f>
        <v>0</v>
      </c>
    </row>
    <row r="61" spans="1:15" x14ac:dyDescent="0.45">
      <c r="A61">
        <v>160</v>
      </c>
      <c r="B61" t="s">
        <v>11</v>
      </c>
      <c r="C61">
        <v>36</v>
      </c>
      <c r="D61" t="s">
        <v>24</v>
      </c>
      <c r="E61" t="s">
        <v>20</v>
      </c>
      <c r="F61">
        <v>460.5</v>
      </c>
      <c r="G61">
        <v>8</v>
      </c>
      <c r="H61">
        <v>3.1</v>
      </c>
      <c r="I61" t="b">
        <v>0</v>
      </c>
      <c r="J61">
        <v>19</v>
      </c>
      <c r="K61" t="s">
        <v>18</v>
      </c>
      <c r="L61" t="str" cm="1">
        <f t="array" ref="L61">_xlfn.IFS(Table1[[#This Row],[Discount Applied]]=TRUE,"Yes",Table1[[#This Row],[Discount Applied]]=FALSE,"No")</f>
        <v>No</v>
      </c>
      <c r="M61" t="str" cm="1">
        <f t="array" ref="M61">_xlfn.IFS(Table1[[#This Row],[Age]]&lt;18,"Under 18",Table1[[#This Row],[Age]]&lt;=23,"18-23",Table1[[#This Row],[Age]]&lt;=29,"24-29",Table1[[#This Row],[Age]]&lt;=35,"30-35",Table1[[#This Row],[Age]]&lt;=41,"36-41",Table1[[#This Row],[Age]]&gt;41,"Over 41")</f>
        <v>36-41</v>
      </c>
      <c r="N61" t="str" cm="1">
        <f t="array" ref="N61">_xlfn.IFS(Table1[[#This Row],[Days Since Last Purchase]]&lt;21,"Active",Table1[[#This Row],[Days Since Last Purchase]]&lt;=42,"Moderately Active",Table1[[#This Row],[Days Since Last Purchase]]&gt;=43, "Inactive")</f>
        <v>Active</v>
      </c>
      <c r="O61">
        <f>IF(K61="Satisfied",1,IF(K61="Neutral",0.5,IF(K61="Unsatisfied",0,IF(Table1[[#This Row],[Satisfaction Level]]="No Response","0"))))</f>
        <v>0.5</v>
      </c>
    </row>
    <row r="62" spans="1:15" x14ac:dyDescent="0.45">
      <c r="A62">
        <v>161</v>
      </c>
      <c r="B62" t="s">
        <v>11</v>
      </c>
      <c r="C62">
        <v>30</v>
      </c>
      <c r="D62" t="s">
        <v>12</v>
      </c>
      <c r="E62" t="s">
        <v>13</v>
      </c>
      <c r="F62">
        <v>1190.8</v>
      </c>
      <c r="G62">
        <v>16</v>
      </c>
      <c r="H62">
        <v>4.5</v>
      </c>
      <c r="I62" t="b">
        <v>1</v>
      </c>
      <c r="J62">
        <v>20</v>
      </c>
      <c r="K62" t="s">
        <v>14</v>
      </c>
      <c r="L62" t="str" cm="1">
        <f t="array" ref="L62">_xlfn.IFS(Table1[[#This Row],[Discount Applied]]=TRUE,"Yes",Table1[[#This Row],[Discount Applied]]=FALSE,"No")</f>
        <v>Yes</v>
      </c>
      <c r="M62" t="str" cm="1">
        <f t="array" ref="M62">_xlfn.IFS(Table1[[#This Row],[Age]]&lt;18,"Under 18",Table1[[#This Row],[Age]]&lt;=23,"18-23",Table1[[#This Row],[Age]]&lt;=29,"24-29",Table1[[#This Row],[Age]]&lt;=35,"30-35",Table1[[#This Row],[Age]]&lt;=41,"36-41",Table1[[#This Row],[Age]]&gt;41,"Over 41")</f>
        <v>30-35</v>
      </c>
      <c r="N62" t="str" cm="1">
        <f t="array" ref="N62">_xlfn.IFS(Table1[[#This Row],[Days Since Last Purchase]]&lt;21,"Active",Table1[[#This Row],[Days Since Last Purchase]]&lt;=42,"Moderately Active",Table1[[#This Row],[Days Since Last Purchase]]&gt;=43, "Inactive")</f>
        <v>Active</v>
      </c>
      <c r="O62">
        <f>IF(K62="Satisfied",1,IF(K62="Neutral",0.5,IF(K62="Unsatisfied",0,IF(Table1[[#This Row],[Satisfaction Level]]="No Response","0"))))</f>
        <v>1</v>
      </c>
    </row>
    <row r="63" spans="1:15" x14ac:dyDescent="0.45">
      <c r="A63">
        <v>162</v>
      </c>
      <c r="B63" t="s">
        <v>15</v>
      </c>
      <c r="C63">
        <v>33</v>
      </c>
      <c r="D63" t="s">
        <v>16</v>
      </c>
      <c r="E63" t="s">
        <v>17</v>
      </c>
      <c r="F63">
        <v>830.75</v>
      </c>
      <c r="G63">
        <v>13</v>
      </c>
      <c r="H63">
        <v>4.2</v>
      </c>
      <c r="I63" t="b">
        <v>0</v>
      </c>
      <c r="J63">
        <v>14</v>
      </c>
      <c r="K63" t="s">
        <v>14</v>
      </c>
      <c r="L63" t="str" cm="1">
        <f t="array" ref="L63">_xlfn.IFS(Table1[[#This Row],[Discount Applied]]=TRUE,"Yes",Table1[[#This Row],[Discount Applied]]=FALSE,"No")</f>
        <v>No</v>
      </c>
      <c r="M63" t="str" cm="1">
        <f t="array" ref="M63">_xlfn.IFS(Table1[[#This Row],[Age]]&lt;18,"Under 18",Table1[[#This Row],[Age]]&lt;=23,"18-23",Table1[[#This Row],[Age]]&lt;=29,"24-29",Table1[[#This Row],[Age]]&lt;=35,"30-35",Table1[[#This Row],[Age]]&lt;=41,"36-41",Table1[[#This Row],[Age]]&gt;41,"Over 41")</f>
        <v>30-35</v>
      </c>
      <c r="N63" t="str" cm="1">
        <f t="array" ref="N63">_xlfn.IFS(Table1[[#This Row],[Days Since Last Purchase]]&lt;21,"Active",Table1[[#This Row],[Days Since Last Purchase]]&lt;=42,"Moderately Active",Table1[[#This Row],[Days Since Last Purchase]]&gt;=43, "Inactive")</f>
        <v>Active</v>
      </c>
      <c r="O63">
        <f>IF(K63="Satisfied",1,IF(K63="Neutral",0.5,IF(K63="Unsatisfied",0,IF(Table1[[#This Row],[Satisfaction Level]]="No Response","0"))))</f>
        <v>1</v>
      </c>
    </row>
    <row r="64" spans="1:15" x14ac:dyDescent="0.45">
      <c r="A64">
        <v>163</v>
      </c>
      <c r="B64" t="s">
        <v>11</v>
      </c>
      <c r="C64">
        <v>42</v>
      </c>
      <c r="D64" t="s">
        <v>19</v>
      </c>
      <c r="E64" t="s">
        <v>20</v>
      </c>
      <c r="F64">
        <v>520.4</v>
      </c>
      <c r="G64">
        <v>9</v>
      </c>
      <c r="H64">
        <v>3.5</v>
      </c>
      <c r="I64" t="b">
        <v>1</v>
      </c>
      <c r="J64">
        <v>37</v>
      </c>
      <c r="K64" t="s">
        <v>21</v>
      </c>
      <c r="L64" t="str" cm="1">
        <f t="array" ref="L64">_xlfn.IFS(Table1[[#This Row],[Discount Applied]]=TRUE,"Yes",Table1[[#This Row],[Discount Applied]]=FALSE,"No")</f>
        <v>Yes</v>
      </c>
      <c r="M64" t="str" cm="1">
        <f t="array" ref="M64">_xlfn.IFS(Table1[[#This Row],[Age]]&lt;18,"Under 18",Table1[[#This Row],[Age]]&lt;=23,"18-23",Table1[[#This Row],[Age]]&lt;=29,"24-29",Table1[[#This Row],[Age]]&lt;=35,"30-35",Table1[[#This Row],[Age]]&lt;=41,"36-41",Table1[[#This Row],[Age]]&gt;41,"Over 41")</f>
        <v>Over 41</v>
      </c>
      <c r="N64" t="str" cm="1">
        <f t="array" ref="N64">_xlfn.IFS(Table1[[#This Row],[Days Since Last Purchase]]&lt;21,"Active",Table1[[#This Row],[Days Since Last Purchase]]&lt;=42,"Moderately Active",Table1[[#This Row],[Days Since Last Purchase]]&gt;=43, "Inactive")</f>
        <v>Moderately Active</v>
      </c>
      <c r="O64">
        <f>IF(K64="Satisfied",1,IF(K64="Neutral",0.5,IF(K64="Unsatisfied",0,IF(Table1[[#This Row],[Satisfaction Level]]="No Response","0"))))</f>
        <v>0</v>
      </c>
    </row>
    <row r="65" spans="1:15" x14ac:dyDescent="0.45">
      <c r="A65">
        <v>164</v>
      </c>
      <c r="B65" t="s">
        <v>15</v>
      </c>
      <c r="C65">
        <v>29</v>
      </c>
      <c r="D65" t="s">
        <v>22</v>
      </c>
      <c r="E65" t="s">
        <v>13</v>
      </c>
      <c r="F65">
        <v>1370.2</v>
      </c>
      <c r="G65">
        <v>18</v>
      </c>
      <c r="H65">
        <v>4.7</v>
      </c>
      <c r="I65" t="b">
        <v>0</v>
      </c>
      <c r="J65">
        <v>10</v>
      </c>
      <c r="K65" t="s">
        <v>14</v>
      </c>
      <c r="L65" t="str" cm="1">
        <f t="array" ref="L65">_xlfn.IFS(Table1[[#This Row],[Discount Applied]]=TRUE,"Yes",Table1[[#This Row],[Discount Applied]]=FALSE,"No")</f>
        <v>No</v>
      </c>
      <c r="M65" t="str" cm="1">
        <f t="array" ref="M65">_xlfn.IFS(Table1[[#This Row],[Age]]&lt;18,"Under 18",Table1[[#This Row],[Age]]&lt;=23,"18-23",Table1[[#This Row],[Age]]&lt;=29,"24-29",Table1[[#This Row],[Age]]&lt;=35,"30-35",Table1[[#This Row],[Age]]&lt;=41,"36-41",Table1[[#This Row],[Age]]&gt;41,"Over 41")</f>
        <v>24-29</v>
      </c>
      <c r="N65" t="str" cm="1">
        <f t="array" ref="N65">_xlfn.IFS(Table1[[#This Row],[Days Since Last Purchase]]&lt;21,"Active",Table1[[#This Row],[Days Since Last Purchase]]&lt;=42,"Moderately Active",Table1[[#This Row],[Days Since Last Purchase]]&gt;=43, "Inactive")</f>
        <v>Active</v>
      </c>
      <c r="O65">
        <f>IF(K65="Satisfied",1,IF(K65="Neutral",0.5,IF(K65="Unsatisfied",0,IF(Table1[[#This Row],[Satisfaction Level]]="No Response","0"))))</f>
        <v>1</v>
      </c>
    </row>
    <row r="66" spans="1:15" x14ac:dyDescent="0.45">
      <c r="A66">
        <v>165</v>
      </c>
      <c r="B66" t="s">
        <v>15</v>
      </c>
      <c r="C66">
        <v>26</v>
      </c>
      <c r="D66" t="s">
        <v>23</v>
      </c>
      <c r="E66" t="s">
        <v>17</v>
      </c>
      <c r="F66">
        <v>690.6</v>
      </c>
      <c r="G66">
        <v>12</v>
      </c>
      <c r="H66">
        <v>3.9</v>
      </c>
      <c r="I66" t="b">
        <v>1</v>
      </c>
      <c r="J66">
        <v>47</v>
      </c>
      <c r="K66" t="s">
        <v>21</v>
      </c>
      <c r="L66" t="str" cm="1">
        <f t="array" ref="L66">_xlfn.IFS(Table1[[#This Row],[Discount Applied]]=TRUE,"Yes",Table1[[#This Row],[Discount Applied]]=FALSE,"No")</f>
        <v>Yes</v>
      </c>
      <c r="M66" t="str" cm="1">
        <f t="array" ref="M66">_xlfn.IFS(Table1[[#This Row],[Age]]&lt;18,"Under 18",Table1[[#This Row],[Age]]&lt;=23,"18-23",Table1[[#This Row],[Age]]&lt;=29,"24-29",Table1[[#This Row],[Age]]&lt;=35,"30-35",Table1[[#This Row],[Age]]&lt;=41,"36-41",Table1[[#This Row],[Age]]&gt;41,"Over 41")</f>
        <v>24-29</v>
      </c>
      <c r="N66" t="str" cm="1">
        <f t="array" ref="N66">_xlfn.IFS(Table1[[#This Row],[Days Since Last Purchase]]&lt;21,"Active",Table1[[#This Row],[Days Since Last Purchase]]&lt;=42,"Moderately Active",Table1[[#This Row],[Days Since Last Purchase]]&gt;=43, "Inactive")</f>
        <v>Inactive</v>
      </c>
      <c r="O66">
        <f>IF(K66="Satisfied",1,IF(K66="Neutral",0.5,IF(K66="Unsatisfied",0,IF(Table1[[#This Row],[Satisfaction Level]]="No Response","0"))))</f>
        <v>0</v>
      </c>
    </row>
    <row r="67" spans="1:15" x14ac:dyDescent="0.45">
      <c r="A67">
        <v>166</v>
      </c>
      <c r="B67" t="s">
        <v>11</v>
      </c>
      <c r="C67">
        <v>38</v>
      </c>
      <c r="D67" t="s">
        <v>24</v>
      </c>
      <c r="E67" t="s">
        <v>20</v>
      </c>
      <c r="F67">
        <v>440.9</v>
      </c>
      <c r="G67">
        <v>8</v>
      </c>
      <c r="H67">
        <v>3.2</v>
      </c>
      <c r="I67" t="b">
        <v>0</v>
      </c>
      <c r="J67">
        <v>24</v>
      </c>
      <c r="K67" t="s">
        <v>18</v>
      </c>
      <c r="L67" t="str" cm="1">
        <f t="array" ref="L67">_xlfn.IFS(Table1[[#This Row],[Discount Applied]]=TRUE,"Yes",Table1[[#This Row],[Discount Applied]]=FALSE,"No")</f>
        <v>No</v>
      </c>
      <c r="M67" t="str" cm="1">
        <f t="array" ref="M67">_xlfn.IFS(Table1[[#This Row],[Age]]&lt;18,"Under 18",Table1[[#This Row],[Age]]&lt;=23,"18-23",Table1[[#This Row],[Age]]&lt;=29,"24-29",Table1[[#This Row],[Age]]&lt;=35,"30-35",Table1[[#This Row],[Age]]&lt;=41,"36-41",Table1[[#This Row],[Age]]&gt;41,"Over 41")</f>
        <v>36-41</v>
      </c>
      <c r="N67" t="str" cm="1">
        <f t="array" ref="N67">_xlfn.IFS(Table1[[#This Row],[Days Since Last Purchase]]&lt;21,"Active",Table1[[#This Row],[Days Since Last Purchase]]&lt;=42,"Moderately Active",Table1[[#This Row],[Days Since Last Purchase]]&gt;=43, "Inactive")</f>
        <v>Moderately Active</v>
      </c>
      <c r="O67">
        <f>IF(K67="Satisfied",1,IF(K67="Neutral",0.5,IF(K67="Unsatisfied",0,IF(Table1[[#This Row],[Satisfaction Level]]="No Response","0"))))</f>
        <v>0.5</v>
      </c>
    </row>
    <row r="68" spans="1:15" x14ac:dyDescent="0.45">
      <c r="A68">
        <v>167</v>
      </c>
      <c r="B68" t="s">
        <v>11</v>
      </c>
      <c r="C68">
        <v>32</v>
      </c>
      <c r="D68" t="s">
        <v>12</v>
      </c>
      <c r="E68" t="s">
        <v>13</v>
      </c>
      <c r="F68">
        <v>1160.3</v>
      </c>
      <c r="G68">
        <v>14</v>
      </c>
      <c r="H68">
        <v>4.4000000000000004</v>
      </c>
      <c r="I68" t="b">
        <v>1</v>
      </c>
      <c r="J68">
        <v>22</v>
      </c>
      <c r="K68" t="s">
        <v>14</v>
      </c>
      <c r="L68" t="str" cm="1">
        <f t="array" ref="L68">_xlfn.IFS(Table1[[#This Row],[Discount Applied]]=TRUE,"Yes",Table1[[#This Row],[Discount Applied]]=FALSE,"No")</f>
        <v>Yes</v>
      </c>
      <c r="M68" t="str" cm="1">
        <f t="array" ref="M68">_xlfn.IFS(Table1[[#This Row],[Age]]&lt;18,"Under 18",Table1[[#This Row],[Age]]&lt;=23,"18-23",Table1[[#This Row],[Age]]&lt;=29,"24-29",Table1[[#This Row],[Age]]&lt;=35,"30-35",Table1[[#This Row],[Age]]&lt;=41,"36-41",Table1[[#This Row],[Age]]&gt;41,"Over 41")</f>
        <v>30-35</v>
      </c>
      <c r="N68" t="str" cm="1">
        <f t="array" ref="N68">_xlfn.IFS(Table1[[#This Row],[Days Since Last Purchase]]&lt;21,"Active",Table1[[#This Row],[Days Since Last Purchase]]&lt;=42,"Moderately Active",Table1[[#This Row],[Days Since Last Purchase]]&gt;=43, "Inactive")</f>
        <v>Moderately Active</v>
      </c>
      <c r="O68">
        <f>IF(K68="Satisfied",1,IF(K68="Neutral",0.5,IF(K68="Unsatisfied",0,IF(Table1[[#This Row],[Satisfaction Level]]="No Response","0"))))</f>
        <v>1</v>
      </c>
    </row>
    <row r="69" spans="1:15" x14ac:dyDescent="0.45">
      <c r="A69">
        <v>168</v>
      </c>
      <c r="B69" t="s">
        <v>15</v>
      </c>
      <c r="C69">
        <v>34</v>
      </c>
      <c r="D69" t="s">
        <v>16</v>
      </c>
      <c r="E69" t="s">
        <v>17</v>
      </c>
      <c r="F69">
        <v>800.2</v>
      </c>
      <c r="G69">
        <v>11</v>
      </c>
      <c r="H69">
        <v>4.0999999999999996</v>
      </c>
      <c r="I69" t="b">
        <v>0</v>
      </c>
      <c r="J69">
        <v>17</v>
      </c>
      <c r="K69" t="s">
        <v>18</v>
      </c>
      <c r="L69" t="str" cm="1">
        <f t="array" ref="L69">_xlfn.IFS(Table1[[#This Row],[Discount Applied]]=TRUE,"Yes",Table1[[#This Row],[Discount Applied]]=FALSE,"No")</f>
        <v>No</v>
      </c>
      <c r="M69" t="str" cm="1">
        <f t="array" ref="M69">_xlfn.IFS(Table1[[#This Row],[Age]]&lt;18,"Under 18",Table1[[#This Row],[Age]]&lt;=23,"18-23",Table1[[#This Row],[Age]]&lt;=29,"24-29",Table1[[#This Row],[Age]]&lt;=35,"30-35",Table1[[#This Row],[Age]]&lt;=41,"36-41",Table1[[#This Row],[Age]]&gt;41,"Over 41")</f>
        <v>30-35</v>
      </c>
      <c r="N69" t="str" cm="1">
        <f t="array" ref="N69">_xlfn.IFS(Table1[[#This Row],[Days Since Last Purchase]]&lt;21,"Active",Table1[[#This Row],[Days Since Last Purchase]]&lt;=42,"Moderately Active",Table1[[#This Row],[Days Since Last Purchase]]&gt;=43, "Inactive")</f>
        <v>Active</v>
      </c>
      <c r="O69">
        <f>IF(K69="Satisfied",1,IF(K69="Neutral",0.5,IF(K69="Unsatisfied",0,IF(Table1[[#This Row],[Satisfaction Level]]="No Response","0"))))</f>
        <v>0.5</v>
      </c>
    </row>
    <row r="70" spans="1:15" x14ac:dyDescent="0.45">
      <c r="A70">
        <v>169</v>
      </c>
      <c r="B70" t="s">
        <v>11</v>
      </c>
      <c r="C70">
        <v>43</v>
      </c>
      <c r="D70" t="s">
        <v>19</v>
      </c>
      <c r="E70" t="s">
        <v>20</v>
      </c>
      <c r="F70">
        <v>500.75</v>
      </c>
      <c r="G70">
        <v>10</v>
      </c>
      <c r="H70">
        <v>3.3</v>
      </c>
      <c r="I70" t="b">
        <v>1</v>
      </c>
      <c r="J70">
        <v>40</v>
      </c>
      <c r="K70" t="s">
        <v>21</v>
      </c>
      <c r="L70" t="str" cm="1">
        <f t="array" ref="L70">_xlfn.IFS(Table1[[#This Row],[Discount Applied]]=TRUE,"Yes",Table1[[#This Row],[Discount Applied]]=FALSE,"No")</f>
        <v>Yes</v>
      </c>
      <c r="M70" t="str" cm="1">
        <f t="array" ref="M70">_xlfn.IFS(Table1[[#This Row],[Age]]&lt;18,"Under 18",Table1[[#This Row],[Age]]&lt;=23,"18-23",Table1[[#This Row],[Age]]&lt;=29,"24-29",Table1[[#This Row],[Age]]&lt;=35,"30-35",Table1[[#This Row],[Age]]&lt;=41,"36-41",Table1[[#This Row],[Age]]&gt;41,"Over 41")</f>
        <v>Over 41</v>
      </c>
      <c r="N70" t="str" cm="1">
        <f t="array" ref="N70">_xlfn.IFS(Table1[[#This Row],[Days Since Last Purchase]]&lt;21,"Active",Table1[[#This Row],[Days Since Last Purchase]]&lt;=42,"Moderately Active",Table1[[#This Row],[Days Since Last Purchase]]&gt;=43, "Inactive")</f>
        <v>Moderately Active</v>
      </c>
      <c r="O70">
        <f>IF(K70="Satisfied",1,IF(K70="Neutral",0.5,IF(K70="Unsatisfied",0,IF(Table1[[#This Row],[Satisfaction Level]]="No Response","0"))))</f>
        <v>0</v>
      </c>
    </row>
    <row r="71" spans="1:15" x14ac:dyDescent="0.45">
      <c r="A71">
        <v>170</v>
      </c>
      <c r="B71" t="s">
        <v>15</v>
      </c>
      <c r="C71">
        <v>30</v>
      </c>
      <c r="D71" t="s">
        <v>22</v>
      </c>
      <c r="E71" t="s">
        <v>13</v>
      </c>
      <c r="F71">
        <v>1460.5</v>
      </c>
      <c r="G71">
        <v>20</v>
      </c>
      <c r="H71">
        <v>4.8</v>
      </c>
      <c r="I71" t="b">
        <v>0</v>
      </c>
      <c r="J71">
        <v>12</v>
      </c>
      <c r="K71" t="s">
        <v>14</v>
      </c>
      <c r="L71" t="str" cm="1">
        <f t="array" ref="L71">_xlfn.IFS(Table1[[#This Row],[Discount Applied]]=TRUE,"Yes",Table1[[#This Row],[Discount Applied]]=FALSE,"No")</f>
        <v>No</v>
      </c>
      <c r="M71" t="str" cm="1">
        <f t="array" ref="M71">_xlfn.IFS(Table1[[#This Row],[Age]]&lt;18,"Under 18",Table1[[#This Row],[Age]]&lt;=23,"18-23",Table1[[#This Row],[Age]]&lt;=29,"24-29",Table1[[#This Row],[Age]]&lt;=35,"30-35",Table1[[#This Row],[Age]]&lt;=41,"36-41",Table1[[#This Row],[Age]]&gt;41,"Over 41")</f>
        <v>30-35</v>
      </c>
      <c r="N71" t="str" cm="1">
        <f t="array" ref="N71">_xlfn.IFS(Table1[[#This Row],[Days Since Last Purchase]]&lt;21,"Active",Table1[[#This Row],[Days Since Last Purchase]]&lt;=42,"Moderately Active",Table1[[#This Row],[Days Since Last Purchase]]&gt;=43, "Inactive")</f>
        <v>Active</v>
      </c>
      <c r="O71">
        <f>IF(K71="Satisfied",1,IF(K71="Neutral",0.5,IF(K71="Unsatisfied",0,IF(Table1[[#This Row],[Satisfaction Level]]="No Response","0"))))</f>
        <v>1</v>
      </c>
    </row>
    <row r="72" spans="1:15" x14ac:dyDescent="0.45">
      <c r="A72">
        <v>171</v>
      </c>
      <c r="B72" t="s">
        <v>15</v>
      </c>
      <c r="C72">
        <v>27</v>
      </c>
      <c r="D72" t="s">
        <v>23</v>
      </c>
      <c r="E72" t="s">
        <v>17</v>
      </c>
      <c r="F72">
        <v>700.4</v>
      </c>
      <c r="G72">
        <v>13</v>
      </c>
      <c r="H72">
        <v>4</v>
      </c>
      <c r="I72" t="b">
        <v>1</v>
      </c>
      <c r="J72">
        <v>53</v>
      </c>
      <c r="K72" t="s">
        <v>21</v>
      </c>
      <c r="L72" t="str" cm="1">
        <f t="array" ref="L72">_xlfn.IFS(Table1[[#This Row],[Discount Applied]]=TRUE,"Yes",Table1[[#This Row],[Discount Applied]]=FALSE,"No")</f>
        <v>Yes</v>
      </c>
      <c r="M72" t="str" cm="1">
        <f t="array" ref="M72">_xlfn.IFS(Table1[[#This Row],[Age]]&lt;18,"Under 18",Table1[[#This Row],[Age]]&lt;=23,"18-23",Table1[[#This Row],[Age]]&lt;=29,"24-29",Table1[[#This Row],[Age]]&lt;=35,"30-35",Table1[[#This Row],[Age]]&lt;=41,"36-41",Table1[[#This Row],[Age]]&gt;41,"Over 41")</f>
        <v>24-29</v>
      </c>
      <c r="N72" t="str" cm="1">
        <f t="array" ref="N72">_xlfn.IFS(Table1[[#This Row],[Days Since Last Purchase]]&lt;21,"Active",Table1[[#This Row],[Days Since Last Purchase]]&lt;=42,"Moderately Active",Table1[[#This Row],[Days Since Last Purchase]]&gt;=43, "Inactive")</f>
        <v>Inactive</v>
      </c>
      <c r="O72">
        <f>IF(K72="Satisfied",1,IF(K72="Neutral",0.5,IF(K72="Unsatisfied",0,IF(Table1[[#This Row],[Satisfaction Level]]="No Response","0"))))</f>
        <v>0</v>
      </c>
    </row>
    <row r="73" spans="1:15" x14ac:dyDescent="0.45">
      <c r="A73">
        <v>172</v>
      </c>
      <c r="B73" t="s">
        <v>11</v>
      </c>
      <c r="C73">
        <v>37</v>
      </c>
      <c r="D73" t="s">
        <v>24</v>
      </c>
      <c r="E73" t="s">
        <v>20</v>
      </c>
      <c r="F73">
        <v>420.8</v>
      </c>
      <c r="G73">
        <v>7</v>
      </c>
      <c r="H73">
        <v>3.1</v>
      </c>
      <c r="I73" t="b">
        <v>0</v>
      </c>
      <c r="J73">
        <v>21</v>
      </c>
      <c r="K73" t="s">
        <v>25</v>
      </c>
      <c r="L73" t="str" cm="1">
        <f t="array" ref="L73">_xlfn.IFS(Table1[[#This Row],[Discount Applied]]=TRUE,"Yes",Table1[[#This Row],[Discount Applied]]=FALSE,"No")</f>
        <v>No</v>
      </c>
      <c r="M73" t="str" cm="1">
        <f t="array" ref="M73">_xlfn.IFS(Table1[[#This Row],[Age]]&lt;18,"Under 18",Table1[[#This Row],[Age]]&lt;=23,"18-23",Table1[[#This Row],[Age]]&lt;=29,"24-29",Table1[[#This Row],[Age]]&lt;=35,"30-35",Table1[[#This Row],[Age]]&lt;=41,"36-41",Table1[[#This Row],[Age]]&gt;41,"Over 41")</f>
        <v>36-41</v>
      </c>
      <c r="N73" t="str" cm="1">
        <f t="array" ref="N73">_xlfn.IFS(Table1[[#This Row],[Days Since Last Purchase]]&lt;21,"Active",Table1[[#This Row],[Days Since Last Purchase]]&lt;=42,"Moderately Active",Table1[[#This Row],[Days Since Last Purchase]]&gt;=43, "Inactive")</f>
        <v>Moderately Active</v>
      </c>
      <c r="O73" t="str">
        <f>IF(K73="Satisfied",1,IF(K73="Neutral",0.5,IF(K73="Unsatisfied",0,IF(Table1[[#This Row],[Satisfaction Level]]="No Response","0"))))</f>
        <v>0</v>
      </c>
    </row>
    <row r="74" spans="1:15" x14ac:dyDescent="0.45">
      <c r="A74">
        <v>173</v>
      </c>
      <c r="B74" t="s">
        <v>11</v>
      </c>
      <c r="C74">
        <v>31</v>
      </c>
      <c r="D74" t="s">
        <v>12</v>
      </c>
      <c r="E74" t="s">
        <v>13</v>
      </c>
      <c r="F74">
        <v>1130.5999999999999</v>
      </c>
      <c r="G74">
        <v>15</v>
      </c>
      <c r="H74">
        <v>4.5</v>
      </c>
      <c r="I74" t="b">
        <v>1</v>
      </c>
      <c r="J74">
        <v>26</v>
      </c>
      <c r="K74" t="s">
        <v>14</v>
      </c>
      <c r="L74" t="str" cm="1">
        <f t="array" ref="L74">_xlfn.IFS(Table1[[#This Row],[Discount Applied]]=TRUE,"Yes",Table1[[#This Row],[Discount Applied]]=FALSE,"No")</f>
        <v>Yes</v>
      </c>
      <c r="M74" t="str" cm="1">
        <f t="array" ref="M74">_xlfn.IFS(Table1[[#This Row],[Age]]&lt;18,"Under 18",Table1[[#This Row],[Age]]&lt;=23,"18-23",Table1[[#This Row],[Age]]&lt;=29,"24-29",Table1[[#This Row],[Age]]&lt;=35,"30-35",Table1[[#This Row],[Age]]&lt;=41,"36-41",Table1[[#This Row],[Age]]&gt;41,"Over 41")</f>
        <v>30-35</v>
      </c>
      <c r="N74" t="str" cm="1">
        <f t="array" ref="N74">_xlfn.IFS(Table1[[#This Row],[Days Since Last Purchase]]&lt;21,"Active",Table1[[#This Row],[Days Since Last Purchase]]&lt;=42,"Moderately Active",Table1[[#This Row],[Days Since Last Purchase]]&gt;=43, "Inactive")</f>
        <v>Moderately Active</v>
      </c>
      <c r="O74">
        <f>IF(K74="Satisfied",1,IF(K74="Neutral",0.5,IF(K74="Unsatisfied",0,IF(Table1[[#This Row],[Satisfaction Level]]="No Response","0"))))</f>
        <v>1</v>
      </c>
    </row>
    <row r="75" spans="1:15" x14ac:dyDescent="0.45">
      <c r="A75">
        <v>174</v>
      </c>
      <c r="B75" t="s">
        <v>15</v>
      </c>
      <c r="C75">
        <v>35</v>
      </c>
      <c r="D75" t="s">
        <v>16</v>
      </c>
      <c r="E75" t="s">
        <v>17</v>
      </c>
      <c r="F75">
        <v>820.9</v>
      </c>
      <c r="G75">
        <v>12</v>
      </c>
      <c r="H75">
        <v>4.3</v>
      </c>
      <c r="I75" t="b">
        <v>0</v>
      </c>
      <c r="J75">
        <v>12</v>
      </c>
      <c r="K75" t="s">
        <v>18</v>
      </c>
      <c r="L75" t="str" cm="1">
        <f t="array" ref="L75">_xlfn.IFS(Table1[[#This Row],[Discount Applied]]=TRUE,"Yes",Table1[[#This Row],[Discount Applied]]=FALSE,"No")</f>
        <v>No</v>
      </c>
      <c r="M75" t="str" cm="1">
        <f t="array" ref="M75">_xlfn.IFS(Table1[[#This Row],[Age]]&lt;18,"Under 18",Table1[[#This Row],[Age]]&lt;=23,"18-23",Table1[[#This Row],[Age]]&lt;=29,"24-29",Table1[[#This Row],[Age]]&lt;=35,"30-35",Table1[[#This Row],[Age]]&lt;=41,"36-41",Table1[[#This Row],[Age]]&gt;41,"Over 41")</f>
        <v>30-35</v>
      </c>
      <c r="N75" t="str" cm="1">
        <f t="array" ref="N75">_xlfn.IFS(Table1[[#This Row],[Days Since Last Purchase]]&lt;21,"Active",Table1[[#This Row],[Days Since Last Purchase]]&lt;=42,"Moderately Active",Table1[[#This Row],[Days Since Last Purchase]]&gt;=43, "Inactive")</f>
        <v>Active</v>
      </c>
      <c r="O75">
        <f>IF(K75="Satisfied",1,IF(K75="Neutral",0.5,IF(K75="Unsatisfied",0,IF(Table1[[#This Row],[Satisfaction Level]]="No Response","0"))))</f>
        <v>0.5</v>
      </c>
    </row>
    <row r="76" spans="1:15" x14ac:dyDescent="0.45">
      <c r="A76">
        <v>175</v>
      </c>
      <c r="B76" t="s">
        <v>11</v>
      </c>
      <c r="C76">
        <v>41</v>
      </c>
      <c r="D76" t="s">
        <v>19</v>
      </c>
      <c r="E76" t="s">
        <v>20</v>
      </c>
      <c r="F76">
        <v>480.25</v>
      </c>
      <c r="G76">
        <v>9</v>
      </c>
      <c r="H76">
        <v>3.6</v>
      </c>
      <c r="I76" t="b">
        <v>1</v>
      </c>
      <c r="J76">
        <v>38</v>
      </c>
      <c r="K76" t="s">
        <v>21</v>
      </c>
      <c r="L76" t="str" cm="1">
        <f t="array" ref="L76">_xlfn.IFS(Table1[[#This Row],[Discount Applied]]=TRUE,"Yes",Table1[[#This Row],[Discount Applied]]=FALSE,"No")</f>
        <v>Yes</v>
      </c>
      <c r="M76" t="str" cm="1">
        <f t="array" ref="M76">_xlfn.IFS(Table1[[#This Row],[Age]]&lt;18,"Under 18",Table1[[#This Row],[Age]]&lt;=23,"18-23",Table1[[#This Row],[Age]]&lt;=29,"24-29",Table1[[#This Row],[Age]]&lt;=35,"30-35",Table1[[#This Row],[Age]]&lt;=41,"36-41",Table1[[#This Row],[Age]]&gt;41,"Over 41")</f>
        <v>36-41</v>
      </c>
      <c r="N76" t="str" cm="1">
        <f t="array" ref="N76">_xlfn.IFS(Table1[[#This Row],[Days Since Last Purchase]]&lt;21,"Active",Table1[[#This Row],[Days Since Last Purchase]]&lt;=42,"Moderately Active",Table1[[#This Row],[Days Since Last Purchase]]&gt;=43, "Inactive")</f>
        <v>Moderately Active</v>
      </c>
      <c r="O76">
        <f>IF(K76="Satisfied",1,IF(K76="Neutral",0.5,IF(K76="Unsatisfied",0,IF(Table1[[#This Row],[Satisfaction Level]]="No Response","0"))))</f>
        <v>0</v>
      </c>
    </row>
    <row r="77" spans="1:15" x14ac:dyDescent="0.45">
      <c r="A77">
        <v>176</v>
      </c>
      <c r="B77" t="s">
        <v>15</v>
      </c>
      <c r="C77">
        <v>28</v>
      </c>
      <c r="D77" t="s">
        <v>22</v>
      </c>
      <c r="E77" t="s">
        <v>13</v>
      </c>
      <c r="F77">
        <v>1490.1</v>
      </c>
      <c r="G77">
        <v>21</v>
      </c>
      <c r="H77">
        <v>4.9000000000000004</v>
      </c>
      <c r="I77" t="b">
        <v>0</v>
      </c>
      <c r="J77">
        <v>9</v>
      </c>
      <c r="K77" t="s">
        <v>14</v>
      </c>
      <c r="L77" t="str" cm="1">
        <f t="array" ref="L77">_xlfn.IFS(Table1[[#This Row],[Discount Applied]]=TRUE,"Yes",Table1[[#This Row],[Discount Applied]]=FALSE,"No")</f>
        <v>No</v>
      </c>
      <c r="M77" t="str" cm="1">
        <f t="array" ref="M77">_xlfn.IFS(Table1[[#This Row],[Age]]&lt;18,"Under 18",Table1[[#This Row],[Age]]&lt;=23,"18-23",Table1[[#This Row],[Age]]&lt;=29,"24-29",Table1[[#This Row],[Age]]&lt;=35,"30-35",Table1[[#This Row],[Age]]&lt;=41,"36-41",Table1[[#This Row],[Age]]&gt;41,"Over 41")</f>
        <v>24-29</v>
      </c>
      <c r="N77" t="str" cm="1">
        <f t="array" ref="N77">_xlfn.IFS(Table1[[#This Row],[Days Since Last Purchase]]&lt;21,"Active",Table1[[#This Row],[Days Since Last Purchase]]&lt;=42,"Moderately Active",Table1[[#This Row],[Days Since Last Purchase]]&gt;=43, "Inactive")</f>
        <v>Active</v>
      </c>
      <c r="O77">
        <f>IF(K77="Satisfied",1,IF(K77="Neutral",0.5,IF(K77="Unsatisfied",0,IF(Table1[[#This Row],[Satisfaction Level]]="No Response","0"))))</f>
        <v>1</v>
      </c>
    </row>
    <row r="78" spans="1:15" x14ac:dyDescent="0.45">
      <c r="A78">
        <v>177</v>
      </c>
      <c r="B78" t="s">
        <v>15</v>
      </c>
      <c r="C78">
        <v>32</v>
      </c>
      <c r="D78" t="s">
        <v>23</v>
      </c>
      <c r="E78" t="s">
        <v>17</v>
      </c>
      <c r="F78">
        <v>680.3</v>
      </c>
      <c r="G78">
        <v>10</v>
      </c>
      <c r="H78">
        <v>3.8</v>
      </c>
      <c r="I78" t="b">
        <v>1</v>
      </c>
      <c r="J78">
        <v>32</v>
      </c>
      <c r="K78" t="s">
        <v>21</v>
      </c>
      <c r="L78" t="str" cm="1">
        <f t="array" ref="L78">_xlfn.IFS(Table1[[#This Row],[Discount Applied]]=TRUE,"Yes",Table1[[#This Row],[Discount Applied]]=FALSE,"No")</f>
        <v>Yes</v>
      </c>
      <c r="M78" t="str" cm="1">
        <f t="array" ref="M78">_xlfn.IFS(Table1[[#This Row],[Age]]&lt;18,"Under 18",Table1[[#This Row],[Age]]&lt;=23,"18-23",Table1[[#This Row],[Age]]&lt;=29,"24-29",Table1[[#This Row],[Age]]&lt;=35,"30-35",Table1[[#This Row],[Age]]&lt;=41,"36-41",Table1[[#This Row],[Age]]&gt;41,"Over 41")</f>
        <v>30-35</v>
      </c>
      <c r="N78" t="str" cm="1">
        <f t="array" ref="N78">_xlfn.IFS(Table1[[#This Row],[Days Since Last Purchase]]&lt;21,"Active",Table1[[#This Row],[Days Since Last Purchase]]&lt;=42,"Moderately Active",Table1[[#This Row],[Days Since Last Purchase]]&gt;=43, "Inactive")</f>
        <v>Moderately Active</v>
      </c>
      <c r="O78">
        <f>IF(K78="Satisfied",1,IF(K78="Neutral",0.5,IF(K78="Unsatisfied",0,IF(Table1[[#This Row],[Satisfaction Level]]="No Response","0"))))</f>
        <v>0</v>
      </c>
    </row>
    <row r="79" spans="1:15" x14ac:dyDescent="0.45">
      <c r="A79">
        <v>178</v>
      </c>
      <c r="B79" t="s">
        <v>11</v>
      </c>
      <c r="C79">
        <v>36</v>
      </c>
      <c r="D79" t="s">
        <v>24</v>
      </c>
      <c r="E79" t="s">
        <v>20</v>
      </c>
      <c r="F79">
        <v>470.5</v>
      </c>
      <c r="G79">
        <v>8</v>
      </c>
      <c r="H79">
        <v>3</v>
      </c>
      <c r="I79" t="b">
        <v>0</v>
      </c>
      <c r="J79">
        <v>18</v>
      </c>
      <c r="K79" t="s">
        <v>18</v>
      </c>
      <c r="L79" t="str" cm="1">
        <f t="array" ref="L79">_xlfn.IFS(Table1[[#This Row],[Discount Applied]]=TRUE,"Yes",Table1[[#This Row],[Discount Applied]]=FALSE,"No")</f>
        <v>No</v>
      </c>
      <c r="M79" t="str" cm="1">
        <f t="array" ref="M79">_xlfn.IFS(Table1[[#This Row],[Age]]&lt;18,"Under 18",Table1[[#This Row],[Age]]&lt;=23,"18-23",Table1[[#This Row],[Age]]&lt;=29,"24-29",Table1[[#This Row],[Age]]&lt;=35,"30-35",Table1[[#This Row],[Age]]&lt;=41,"36-41",Table1[[#This Row],[Age]]&gt;41,"Over 41")</f>
        <v>36-41</v>
      </c>
      <c r="N79" t="str" cm="1">
        <f t="array" ref="N79">_xlfn.IFS(Table1[[#This Row],[Days Since Last Purchase]]&lt;21,"Active",Table1[[#This Row],[Days Since Last Purchase]]&lt;=42,"Moderately Active",Table1[[#This Row],[Days Since Last Purchase]]&gt;=43, "Inactive")</f>
        <v>Active</v>
      </c>
      <c r="O79">
        <f>IF(K79="Satisfied",1,IF(K79="Neutral",0.5,IF(K79="Unsatisfied",0,IF(Table1[[#This Row],[Satisfaction Level]]="No Response","0"))))</f>
        <v>0.5</v>
      </c>
    </row>
    <row r="80" spans="1:15" x14ac:dyDescent="0.45">
      <c r="A80">
        <v>179</v>
      </c>
      <c r="B80" t="s">
        <v>11</v>
      </c>
      <c r="C80">
        <v>30</v>
      </c>
      <c r="D80" t="s">
        <v>12</v>
      </c>
      <c r="E80" t="s">
        <v>13</v>
      </c>
      <c r="F80">
        <v>1180.8</v>
      </c>
      <c r="G80">
        <v>16</v>
      </c>
      <c r="H80">
        <v>4.7</v>
      </c>
      <c r="I80" t="b">
        <v>1</v>
      </c>
      <c r="J80">
        <v>19</v>
      </c>
      <c r="K80" t="s">
        <v>14</v>
      </c>
      <c r="L80" t="str" cm="1">
        <f t="array" ref="L80">_xlfn.IFS(Table1[[#This Row],[Discount Applied]]=TRUE,"Yes",Table1[[#This Row],[Discount Applied]]=FALSE,"No")</f>
        <v>Yes</v>
      </c>
      <c r="M80" t="str" cm="1">
        <f t="array" ref="M80">_xlfn.IFS(Table1[[#This Row],[Age]]&lt;18,"Under 18",Table1[[#This Row],[Age]]&lt;=23,"18-23",Table1[[#This Row],[Age]]&lt;=29,"24-29",Table1[[#This Row],[Age]]&lt;=35,"30-35",Table1[[#This Row],[Age]]&lt;=41,"36-41",Table1[[#This Row],[Age]]&gt;41,"Over 41")</f>
        <v>30-35</v>
      </c>
      <c r="N80" t="str" cm="1">
        <f t="array" ref="N80">_xlfn.IFS(Table1[[#This Row],[Days Since Last Purchase]]&lt;21,"Active",Table1[[#This Row],[Days Since Last Purchase]]&lt;=42,"Moderately Active",Table1[[#This Row],[Days Since Last Purchase]]&gt;=43, "Inactive")</f>
        <v>Active</v>
      </c>
      <c r="O80">
        <f>IF(K80="Satisfied",1,IF(K80="Neutral",0.5,IF(K80="Unsatisfied",0,IF(Table1[[#This Row],[Satisfaction Level]]="No Response","0"))))</f>
        <v>1</v>
      </c>
    </row>
    <row r="81" spans="1:15" x14ac:dyDescent="0.45">
      <c r="A81">
        <v>180</v>
      </c>
      <c r="B81" t="s">
        <v>15</v>
      </c>
      <c r="C81">
        <v>34</v>
      </c>
      <c r="D81" t="s">
        <v>16</v>
      </c>
      <c r="E81" t="s">
        <v>17</v>
      </c>
      <c r="F81">
        <v>790.2</v>
      </c>
      <c r="G81">
        <v>11</v>
      </c>
      <c r="H81">
        <v>4</v>
      </c>
      <c r="I81" t="b">
        <v>0</v>
      </c>
      <c r="J81">
        <v>15</v>
      </c>
      <c r="K81" t="s">
        <v>18</v>
      </c>
      <c r="L81" t="str" cm="1">
        <f t="array" ref="L81">_xlfn.IFS(Table1[[#This Row],[Discount Applied]]=TRUE,"Yes",Table1[[#This Row],[Discount Applied]]=FALSE,"No")</f>
        <v>No</v>
      </c>
      <c r="M81" t="str" cm="1">
        <f t="array" ref="M81">_xlfn.IFS(Table1[[#This Row],[Age]]&lt;18,"Under 18",Table1[[#This Row],[Age]]&lt;=23,"18-23",Table1[[#This Row],[Age]]&lt;=29,"24-29",Table1[[#This Row],[Age]]&lt;=35,"30-35",Table1[[#This Row],[Age]]&lt;=41,"36-41",Table1[[#This Row],[Age]]&gt;41,"Over 41")</f>
        <v>30-35</v>
      </c>
      <c r="N81" t="str" cm="1">
        <f t="array" ref="N81">_xlfn.IFS(Table1[[#This Row],[Days Since Last Purchase]]&lt;21,"Active",Table1[[#This Row],[Days Since Last Purchase]]&lt;=42,"Moderately Active",Table1[[#This Row],[Days Since Last Purchase]]&gt;=43, "Inactive")</f>
        <v>Active</v>
      </c>
      <c r="O81">
        <f>IF(K81="Satisfied",1,IF(K81="Neutral",0.5,IF(K81="Unsatisfied",0,IF(Table1[[#This Row],[Satisfaction Level]]="No Response","0"))))</f>
        <v>0.5</v>
      </c>
    </row>
    <row r="82" spans="1:15" x14ac:dyDescent="0.45">
      <c r="A82">
        <v>181</v>
      </c>
      <c r="B82" t="s">
        <v>11</v>
      </c>
      <c r="C82">
        <v>43</v>
      </c>
      <c r="D82" t="s">
        <v>19</v>
      </c>
      <c r="E82" t="s">
        <v>20</v>
      </c>
      <c r="F82">
        <v>505.75</v>
      </c>
      <c r="G82">
        <v>10</v>
      </c>
      <c r="H82">
        <v>3.3</v>
      </c>
      <c r="I82" t="b">
        <v>1</v>
      </c>
      <c r="J82">
        <v>39</v>
      </c>
      <c r="K82" t="s">
        <v>21</v>
      </c>
      <c r="L82" t="str" cm="1">
        <f t="array" ref="L82">_xlfn.IFS(Table1[[#This Row],[Discount Applied]]=TRUE,"Yes",Table1[[#This Row],[Discount Applied]]=FALSE,"No")</f>
        <v>Yes</v>
      </c>
      <c r="M82" t="str" cm="1">
        <f t="array" ref="M82">_xlfn.IFS(Table1[[#This Row],[Age]]&lt;18,"Under 18",Table1[[#This Row],[Age]]&lt;=23,"18-23",Table1[[#This Row],[Age]]&lt;=29,"24-29",Table1[[#This Row],[Age]]&lt;=35,"30-35",Table1[[#This Row],[Age]]&lt;=41,"36-41",Table1[[#This Row],[Age]]&gt;41,"Over 41")</f>
        <v>Over 41</v>
      </c>
      <c r="N82" t="str" cm="1">
        <f t="array" ref="N82">_xlfn.IFS(Table1[[#This Row],[Days Since Last Purchase]]&lt;21,"Active",Table1[[#This Row],[Days Since Last Purchase]]&lt;=42,"Moderately Active",Table1[[#This Row],[Days Since Last Purchase]]&gt;=43, "Inactive")</f>
        <v>Moderately Active</v>
      </c>
      <c r="O82">
        <f>IF(K82="Satisfied",1,IF(K82="Neutral",0.5,IF(K82="Unsatisfied",0,IF(Table1[[#This Row],[Satisfaction Level]]="No Response","0"))))</f>
        <v>0</v>
      </c>
    </row>
    <row r="83" spans="1:15" x14ac:dyDescent="0.45">
      <c r="A83">
        <v>182</v>
      </c>
      <c r="B83" t="s">
        <v>15</v>
      </c>
      <c r="C83">
        <v>30</v>
      </c>
      <c r="D83" t="s">
        <v>22</v>
      </c>
      <c r="E83" t="s">
        <v>13</v>
      </c>
      <c r="F83">
        <v>1470.5</v>
      </c>
      <c r="G83">
        <v>20</v>
      </c>
      <c r="H83">
        <v>4.8</v>
      </c>
      <c r="I83" t="b">
        <v>0</v>
      </c>
      <c r="J83">
        <v>13</v>
      </c>
      <c r="K83" t="s">
        <v>14</v>
      </c>
      <c r="L83" t="str" cm="1">
        <f t="array" ref="L83">_xlfn.IFS(Table1[[#This Row],[Discount Applied]]=TRUE,"Yes",Table1[[#This Row],[Discount Applied]]=FALSE,"No")</f>
        <v>No</v>
      </c>
      <c r="M83" t="str" cm="1">
        <f t="array" ref="M83">_xlfn.IFS(Table1[[#This Row],[Age]]&lt;18,"Under 18",Table1[[#This Row],[Age]]&lt;=23,"18-23",Table1[[#This Row],[Age]]&lt;=29,"24-29",Table1[[#This Row],[Age]]&lt;=35,"30-35",Table1[[#This Row],[Age]]&lt;=41,"36-41",Table1[[#This Row],[Age]]&gt;41,"Over 41")</f>
        <v>30-35</v>
      </c>
      <c r="N83" t="str" cm="1">
        <f t="array" ref="N83">_xlfn.IFS(Table1[[#This Row],[Days Since Last Purchase]]&lt;21,"Active",Table1[[#This Row],[Days Since Last Purchase]]&lt;=42,"Moderately Active",Table1[[#This Row],[Days Since Last Purchase]]&gt;=43, "Inactive")</f>
        <v>Active</v>
      </c>
      <c r="O83">
        <f>IF(K83="Satisfied",1,IF(K83="Neutral",0.5,IF(K83="Unsatisfied",0,IF(Table1[[#This Row],[Satisfaction Level]]="No Response","0"))))</f>
        <v>1</v>
      </c>
    </row>
    <row r="84" spans="1:15" x14ac:dyDescent="0.45">
      <c r="A84">
        <v>183</v>
      </c>
      <c r="B84" t="s">
        <v>15</v>
      </c>
      <c r="C84">
        <v>27</v>
      </c>
      <c r="D84" t="s">
        <v>23</v>
      </c>
      <c r="E84" t="s">
        <v>17</v>
      </c>
      <c r="F84">
        <v>710.4</v>
      </c>
      <c r="G84">
        <v>13</v>
      </c>
      <c r="H84">
        <v>4.0999999999999996</v>
      </c>
      <c r="I84" t="b">
        <v>1</v>
      </c>
      <c r="J84">
        <v>54</v>
      </c>
      <c r="K84" t="s">
        <v>21</v>
      </c>
      <c r="L84" t="str" cm="1">
        <f t="array" ref="L84">_xlfn.IFS(Table1[[#This Row],[Discount Applied]]=TRUE,"Yes",Table1[[#This Row],[Discount Applied]]=FALSE,"No")</f>
        <v>Yes</v>
      </c>
      <c r="M84" t="str" cm="1">
        <f t="array" ref="M84">_xlfn.IFS(Table1[[#This Row],[Age]]&lt;18,"Under 18",Table1[[#This Row],[Age]]&lt;=23,"18-23",Table1[[#This Row],[Age]]&lt;=29,"24-29",Table1[[#This Row],[Age]]&lt;=35,"30-35",Table1[[#This Row],[Age]]&lt;=41,"36-41",Table1[[#This Row],[Age]]&gt;41,"Over 41")</f>
        <v>24-29</v>
      </c>
      <c r="N84" t="str" cm="1">
        <f t="array" ref="N84">_xlfn.IFS(Table1[[#This Row],[Days Since Last Purchase]]&lt;21,"Active",Table1[[#This Row],[Days Since Last Purchase]]&lt;=42,"Moderately Active",Table1[[#This Row],[Days Since Last Purchase]]&gt;=43, "Inactive")</f>
        <v>Inactive</v>
      </c>
      <c r="O84">
        <f>IF(K84="Satisfied",1,IF(K84="Neutral",0.5,IF(K84="Unsatisfied",0,IF(Table1[[#This Row],[Satisfaction Level]]="No Response","0"))))</f>
        <v>0</v>
      </c>
    </row>
    <row r="85" spans="1:15" x14ac:dyDescent="0.45">
      <c r="A85">
        <v>184</v>
      </c>
      <c r="B85" t="s">
        <v>11</v>
      </c>
      <c r="C85">
        <v>37</v>
      </c>
      <c r="D85" t="s">
        <v>24</v>
      </c>
      <c r="E85" t="s">
        <v>20</v>
      </c>
      <c r="F85">
        <v>430.8</v>
      </c>
      <c r="G85">
        <v>7</v>
      </c>
      <c r="H85">
        <v>3.4</v>
      </c>
      <c r="I85" t="b">
        <v>0</v>
      </c>
      <c r="J85">
        <v>23</v>
      </c>
      <c r="K85" t="s">
        <v>18</v>
      </c>
      <c r="L85" t="str" cm="1">
        <f t="array" ref="L85">_xlfn.IFS(Table1[[#This Row],[Discount Applied]]=TRUE,"Yes",Table1[[#This Row],[Discount Applied]]=FALSE,"No")</f>
        <v>No</v>
      </c>
      <c r="M85" t="str" cm="1">
        <f t="array" ref="M85">_xlfn.IFS(Table1[[#This Row],[Age]]&lt;18,"Under 18",Table1[[#This Row],[Age]]&lt;=23,"18-23",Table1[[#This Row],[Age]]&lt;=29,"24-29",Table1[[#This Row],[Age]]&lt;=35,"30-35",Table1[[#This Row],[Age]]&lt;=41,"36-41",Table1[[#This Row],[Age]]&gt;41,"Over 41")</f>
        <v>36-41</v>
      </c>
      <c r="N85" t="str" cm="1">
        <f t="array" ref="N85">_xlfn.IFS(Table1[[#This Row],[Days Since Last Purchase]]&lt;21,"Active",Table1[[#This Row],[Days Since Last Purchase]]&lt;=42,"Moderately Active",Table1[[#This Row],[Days Since Last Purchase]]&gt;=43, "Inactive")</f>
        <v>Moderately Active</v>
      </c>
      <c r="O85">
        <f>IF(K85="Satisfied",1,IF(K85="Neutral",0.5,IF(K85="Unsatisfied",0,IF(Table1[[#This Row],[Satisfaction Level]]="No Response","0"))))</f>
        <v>0.5</v>
      </c>
    </row>
    <row r="86" spans="1:15" x14ac:dyDescent="0.45">
      <c r="A86">
        <v>185</v>
      </c>
      <c r="B86" t="s">
        <v>11</v>
      </c>
      <c r="C86">
        <v>31</v>
      </c>
      <c r="D86" t="s">
        <v>12</v>
      </c>
      <c r="E86" t="s">
        <v>13</v>
      </c>
      <c r="F86">
        <v>1140.5999999999999</v>
      </c>
      <c r="G86">
        <v>15</v>
      </c>
      <c r="H86">
        <v>4.5999999999999996</v>
      </c>
      <c r="I86" t="b">
        <v>1</v>
      </c>
      <c r="J86">
        <v>27</v>
      </c>
      <c r="K86" t="s">
        <v>14</v>
      </c>
      <c r="L86" t="str" cm="1">
        <f t="array" ref="L86">_xlfn.IFS(Table1[[#This Row],[Discount Applied]]=TRUE,"Yes",Table1[[#This Row],[Discount Applied]]=FALSE,"No")</f>
        <v>Yes</v>
      </c>
      <c r="M86" t="str" cm="1">
        <f t="array" ref="M86">_xlfn.IFS(Table1[[#This Row],[Age]]&lt;18,"Under 18",Table1[[#This Row],[Age]]&lt;=23,"18-23",Table1[[#This Row],[Age]]&lt;=29,"24-29",Table1[[#This Row],[Age]]&lt;=35,"30-35",Table1[[#This Row],[Age]]&lt;=41,"36-41",Table1[[#This Row],[Age]]&gt;41,"Over 41")</f>
        <v>30-35</v>
      </c>
      <c r="N86" t="str" cm="1">
        <f t="array" ref="N86">_xlfn.IFS(Table1[[#This Row],[Days Since Last Purchase]]&lt;21,"Active",Table1[[#This Row],[Days Since Last Purchase]]&lt;=42,"Moderately Active",Table1[[#This Row],[Days Since Last Purchase]]&gt;=43, "Inactive")</f>
        <v>Moderately Active</v>
      </c>
      <c r="O86">
        <f>IF(K86="Satisfied",1,IF(K86="Neutral",0.5,IF(K86="Unsatisfied",0,IF(Table1[[#This Row],[Satisfaction Level]]="No Response","0"))))</f>
        <v>1</v>
      </c>
    </row>
    <row r="87" spans="1:15" x14ac:dyDescent="0.45">
      <c r="A87">
        <v>186</v>
      </c>
      <c r="B87" t="s">
        <v>15</v>
      </c>
      <c r="C87">
        <v>35</v>
      </c>
      <c r="D87" t="s">
        <v>16</v>
      </c>
      <c r="E87" t="s">
        <v>17</v>
      </c>
      <c r="F87">
        <v>810.9</v>
      </c>
      <c r="G87">
        <v>12</v>
      </c>
      <c r="H87">
        <v>4.3</v>
      </c>
      <c r="I87" t="b">
        <v>0</v>
      </c>
      <c r="J87">
        <v>13</v>
      </c>
      <c r="K87" t="s">
        <v>18</v>
      </c>
      <c r="L87" t="str" cm="1">
        <f t="array" ref="L87">_xlfn.IFS(Table1[[#This Row],[Discount Applied]]=TRUE,"Yes",Table1[[#This Row],[Discount Applied]]=FALSE,"No")</f>
        <v>No</v>
      </c>
      <c r="M87" t="str" cm="1">
        <f t="array" ref="M87">_xlfn.IFS(Table1[[#This Row],[Age]]&lt;18,"Under 18",Table1[[#This Row],[Age]]&lt;=23,"18-23",Table1[[#This Row],[Age]]&lt;=29,"24-29",Table1[[#This Row],[Age]]&lt;=35,"30-35",Table1[[#This Row],[Age]]&lt;=41,"36-41",Table1[[#This Row],[Age]]&gt;41,"Over 41")</f>
        <v>30-35</v>
      </c>
      <c r="N87" t="str" cm="1">
        <f t="array" ref="N87">_xlfn.IFS(Table1[[#This Row],[Days Since Last Purchase]]&lt;21,"Active",Table1[[#This Row],[Days Since Last Purchase]]&lt;=42,"Moderately Active",Table1[[#This Row],[Days Since Last Purchase]]&gt;=43, "Inactive")</f>
        <v>Active</v>
      </c>
      <c r="O87">
        <f>IF(K87="Satisfied",1,IF(K87="Neutral",0.5,IF(K87="Unsatisfied",0,IF(Table1[[#This Row],[Satisfaction Level]]="No Response","0"))))</f>
        <v>0.5</v>
      </c>
    </row>
    <row r="88" spans="1:15" x14ac:dyDescent="0.45">
      <c r="A88">
        <v>187</v>
      </c>
      <c r="B88" t="s">
        <v>11</v>
      </c>
      <c r="C88">
        <v>41</v>
      </c>
      <c r="D88" t="s">
        <v>19</v>
      </c>
      <c r="E88" t="s">
        <v>20</v>
      </c>
      <c r="F88">
        <v>485.25</v>
      </c>
      <c r="G88">
        <v>9</v>
      </c>
      <c r="H88">
        <v>3.6</v>
      </c>
      <c r="I88" t="b">
        <v>1</v>
      </c>
      <c r="J88">
        <v>39</v>
      </c>
      <c r="K88" t="s">
        <v>21</v>
      </c>
      <c r="L88" t="str" cm="1">
        <f t="array" ref="L88">_xlfn.IFS(Table1[[#This Row],[Discount Applied]]=TRUE,"Yes",Table1[[#This Row],[Discount Applied]]=FALSE,"No")</f>
        <v>Yes</v>
      </c>
      <c r="M88" t="str" cm="1">
        <f t="array" ref="M88">_xlfn.IFS(Table1[[#This Row],[Age]]&lt;18,"Under 18",Table1[[#This Row],[Age]]&lt;=23,"18-23",Table1[[#This Row],[Age]]&lt;=29,"24-29",Table1[[#This Row],[Age]]&lt;=35,"30-35",Table1[[#This Row],[Age]]&lt;=41,"36-41",Table1[[#This Row],[Age]]&gt;41,"Over 41")</f>
        <v>36-41</v>
      </c>
      <c r="N88" t="str" cm="1">
        <f t="array" ref="N88">_xlfn.IFS(Table1[[#This Row],[Days Since Last Purchase]]&lt;21,"Active",Table1[[#This Row],[Days Since Last Purchase]]&lt;=42,"Moderately Active",Table1[[#This Row],[Days Since Last Purchase]]&gt;=43, "Inactive")</f>
        <v>Moderately Active</v>
      </c>
      <c r="O88">
        <f>IF(K88="Satisfied",1,IF(K88="Neutral",0.5,IF(K88="Unsatisfied",0,IF(Table1[[#This Row],[Satisfaction Level]]="No Response","0"))))</f>
        <v>0</v>
      </c>
    </row>
    <row r="89" spans="1:15" x14ac:dyDescent="0.45">
      <c r="A89">
        <v>188</v>
      </c>
      <c r="B89" t="s">
        <v>15</v>
      </c>
      <c r="C89">
        <v>28</v>
      </c>
      <c r="D89" t="s">
        <v>22</v>
      </c>
      <c r="E89" t="s">
        <v>13</v>
      </c>
      <c r="F89">
        <v>1500.1</v>
      </c>
      <c r="G89">
        <v>21</v>
      </c>
      <c r="H89">
        <v>4.9000000000000004</v>
      </c>
      <c r="I89" t="b">
        <v>0</v>
      </c>
      <c r="J89">
        <v>10</v>
      </c>
      <c r="K89" t="s">
        <v>14</v>
      </c>
      <c r="L89" t="str" cm="1">
        <f t="array" ref="L89">_xlfn.IFS(Table1[[#This Row],[Discount Applied]]=TRUE,"Yes",Table1[[#This Row],[Discount Applied]]=FALSE,"No")</f>
        <v>No</v>
      </c>
      <c r="M89" t="str" cm="1">
        <f t="array" ref="M89">_xlfn.IFS(Table1[[#This Row],[Age]]&lt;18,"Under 18",Table1[[#This Row],[Age]]&lt;=23,"18-23",Table1[[#This Row],[Age]]&lt;=29,"24-29",Table1[[#This Row],[Age]]&lt;=35,"30-35",Table1[[#This Row],[Age]]&lt;=41,"36-41",Table1[[#This Row],[Age]]&gt;41,"Over 41")</f>
        <v>24-29</v>
      </c>
      <c r="N89" t="str" cm="1">
        <f t="array" ref="N89">_xlfn.IFS(Table1[[#This Row],[Days Since Last Purchase]]&lt;21,"Active",Table1[[#This Row],[Days Since Last Purchase]]&lt;=42,"Moderately Active",Table1[[#This Row],[Days Since Last Purchase]]&gt;=43, "Inactive")</f>
        <v>Active</v>
      </c>
      <c r="O89">
        <f>IF(K89="Satisfied",1,IF(K89="Neutral",0.5,IF(K89="Unsatisfied",0,IF(Table1[[#This Row],[Satisfaction Level]]="No Response","0"))))</f>
        <v>1</v>
      </c>
    </row>
    <row r="90" spans="1:15" x14ac:dyDescent="0.45">
      <c r="A90">
        <v>189</v>
      </c>
      <c r="B90" t="s">
        <v>15</v>
      </c>
      <c r="C90">
        <v>32</v>
      </c>
      <c r="D90" t="s">
        <v>23</v>
      </c>
      <c r="E90" t="s">
        <v>17</v>
      </c>
      <c r="F90">
        <v>670.3</v>
      </c>
      <c r="G90">
        <v>10</v>
      </c>
      <c r="H90">
        <v>3.8</v>
      </c>
      <c r="I90" t="b">
        <v>1</v>
      </c>
      <c r="J90">
        <v>33</v>
      </c>
      <c r="K90" t="s">
        <v>21</v>
      </c>
      <c r="L90" t="str" cm="1">
        <f t="array" ref="L90">_xlfn.IFS(Table1[[#This Row],[Discount Applied]]=TRUE,"Yes",Table1[[#This Row],[Discount Applied]]=FALSE,"No")</f>
        <v>Yes</v>
      </c>
      <c r="M90" t="str" cm="1">
        <f t="array" ref="M90">_xlfn.IFS(Table1[[#This Row],[Age]]&lt;18,"Under 18",Table1[[#This Row],[Age]]&lt;=23,"18-23",Table1[[#This Row],[Age]]&lt;=29,"24-29",Table1[[#This Row],[Age]]&lt;=35,"30-35",Table1[[#This Row],[Age]]&lt;=41,"36-41",Table1[[#This Row],[Age]]&gt;41,"Over 41")</f>
        <v>30-35</v>
      </c>
      <c r="N90" t="str" cm="1">
        <f t="array" ref="N90">_xlfn.IFS(Table1[[#This Row],[Days Since Last Purchase]]&lt;21,"Active",Table1[[#This Row],[Days Since Last Purchase]]&lt;=42,"Moderately Active",Table1[[#This Row],[Days Since Last Purchase]]&gt;=43, "Inactive")</f>
        <v>Moderately Active</v>
      </c>
      <c r="O90">
        <f>IF(K90="Satisfied",1,IF(K90="Neutral",0.5,IF(K90="Unsatisfied",0,IF(Table1[[#This Row],[Satisfaction Level]]="No Response","0"))))</f>
        <v>0</v>
      </c>
    </row>
    <row r="91" spans="1:15" x14ac:dyDescent="0.45">
      <c r="A91">
        <v>190</v>
      </c>
      <c r="B91" t="s">
        <v>11</v>
      </c>
      <c r="C91">
        <v>36</v>
      </c>
      <c r="D91" t="s">
        <v>24</v>
      </c>
      <c r="E91" t="s">
        <v>20</v>
      </c>
      <c r="F91">
        <v>460.5</v>
      </c>
      <c r="G91">
        <v>8</v>
      </c>
      <c r="H91">
        <v>3.1</v>
      </c>
      <c r="I91" t="b">
        <v>0</v>
      </c>
      <c r="J91">
        <v>19</v>
      </c>
      <c r="K91" t="s">
        <v>18</v>
      </c>
      <c r="L91" t="str" cm="1">
        <f t="array" ref="L91">_xlfn.IFS(Table1[[#This Row],[Discount Applied]]=TRUE,"Yes",Table1[[#This Row],[Discount Applied]]=FALSE,"No")</f>
        <v>No</v>
      </c>
      <c r="M91" t="str" cm="1">
        <f t="array" ref="M91">_xlfn.IFS(Table1[[#This Row],[Age]]&lt;18,"Under 18",Table1[[#This Row],[Age]]&lt;=23,"18-23",Table1[[#This Row],[Age]]&lt;=29,"24-29",Table1[[#This Row],[Age]]&lt;=35,"30-35",Table1[[#This Row],[Age]]&lt;=41,"36-41",Table1[[#This Row],[Age]]&gt;41,"Over 41")</f>
        <v>36-41</v>
      </c>
      <c r="N91" t="str" cm="1">
        <f t="array" ref="N91">_xlfn.IFS(Table1[[#This Row],[Days Since Last Purchase]]&lt;21,"Active",Table1[[#This Row],[Days Since Last Purchase]]&lt;=42,"Moderately Active",Table1[[#This Row],[Days Since Last Purchase]]&gt;=43, "Inactive")</f>
        <v>Active</v>
      </c>
      <c r="O91">
        <f>IF(K91="Satisfied",1,IF(K91="Neutral",0.5,IF(K91="Unsatisfied",0,IF(Table1[[#This Row],[Satisfaction Level]]="No Response","0"))))</f>
        <v>0.5</v>
      </c>
    </row>
    <row r="92" spans="1:15" x14ac:dyDescent="0.45">
      <c r="A92">
        <v>191</v>
      </c>
      <c r="B92" t="s">
        <v>11</v>
      </c>
      <c r="C92">
        <v>30</v>
      </c>
      <c r="D92" t="s">
        <v>12</v>
      </c>
      <c r="E92" t="s">
        <v>13</v>
      </c>
      <c r="F92">
        <v>1190.8</v>
      </c>
      <c r="G92">
        <v>16</v>
      </c>
      <c r="H92">
        <v>4.5</v>
      </c>
      <c r="I92" t="b">
        <v>1</v>
      </c>
      <c r="J92">
        <v>20</v>
      </c>
      <c r="K92" t="s">
        <v>14</v>
      </c>
      <c r="L92" t="str" cm="1">
        <f t="array" ref="L92">_xlfn.IFS(Table1[[#This Row],[Discount Applied]]=TRUE,"Yes",Table1[[#This Row],[Discount Applied]]=FALSE,"No")</f>
        <v>Yes</v>
      </c>
      <c r="M92" t="str" cm="1">
        <f t="array" ref="M92">_xlfn.IFS(Table1[[#This Row],[Age]]&lt;18,"Under 18",Table1[[#This Row],[Age]]&lt;=23,"18-23",Table1[[#This Row],[Age]]&lt;=29,"24-29",Table1[[#This Row],[Age]]&lt;=35,"30-35",Table1[[#This Row],[Age]]&lt;=41,"36-41",Table1[[#This Row],[Age]]&gt;41,"Over 41")</f>
        <v>30-35</v>
      </c>
      <c r="N92" t="str" cm="1">
        <f t="array" ref="N92">_xlfn.IFS(Table1[[#This Row],[Days Since Last Purchase]]&lt;21,"Active",Table1[[#This Row],[Days Since Last Purchase]]&lt;=42,"Moderately Active",Table1[[#This Row],[Days Since Last Purchase]]&gt;=43, "Inactive")</f>
        <v>Active</v>
      </c>
      <c r="O92">
        <f>IF(K92="Satisfied",1,IF(K92="Neutral",0.5,IF(K92="Unsatisfied",0,IF(Table1[[#This Row],[Satisfaction Level]]="No Response","0"))))</f>
        <v>1</v>
      </c>
    </row>
    <row r="93" spans="1:15" x14ac:dyDescent="0.45">
      <c r="A93">
        <v>192</v>
      </c>
      <c r="B93" t="s">
        <v>15</v>
      </c>
      <c r="C93">
        <v>33</v>
      </c>
      <c r="D93" t="s">
        <v>16</v>
      </c>
      <c r="E93" t="s">
        <v>17</v>
      </c>
      <c r="F93">
        <v>830.75</v>
      </c>
      <c r="G93">
        <v>13</v>
      </c>
      <c r="H93">
        <v>4.2</v>
      </c>
      <c r="I93" t="b">
        <v>0</v>
      </c>
      <c r="J93">
        <v>14</v>
      </c>
      <c r="K93" t="s">
        <v>14</v>
      </c>
      <c r="L93" t="str" cm="1">
        <f t="array" ref="L93">_xlfn.IFS(Table1[[#This Row],[Discount Applied]]=TRUE,"Yes",Table1[[#This Row],[Discount Applied]]=FALSE,"No")</f>
        <v>No</v>
      </c>
      <c r="M93" t="str" cm="1">
        <f t="array" ref="M93">_xlfn.IFS(Table1[[#This Row],[Age]]&lt;18,"Under 18",Table1[[#This Row],[Age]]&lt;=23,"18-23",Table1[[#This Row],[Age]]&lt;=29,"24-29",Table1[[#This Row],[Age]]&lt;=35,"30-35",Table1[[#This Row],[Age]]&lt;=41,"36-41",Table1[[#This Row],[Age]]&gt;41,"Over 41")</f>
        <v>30-35</v>
      </c>
      <c r="N93" t="str" cm="1">
        <f t="array" ref="N93">_xlfn.IFS(Table1[[#This Row],[Days Since Last Purchase]]&lt;21,"Active",Table1[[#This Row],[Days Since Last Purchase]]&lt;=42,"Moderately Active",Table1[[#This Row],[Days Since Last Purchase]]&gt;=43, "Inactive")</f>
        <v>Active</v>
      </c>
      <c r="O93">
        <f>IF(K93="Satisfied",1,IF(K93="Neutral",0.5,IF(K93="Unsatisfied",0,IF(Table1[[#This Row],[Satisfaction Level]]="No Response","0"))))</f>
        <v>1</v>
      </c>
    </row>
    <row r="94" spans="1:15" x14ac:dyDescent="0.45">
      <c r="A94">
        <v>193</v>
      </c>
      <c r="B94" t="s">
        <v>11</v>
      </c>
      <c r="C94">
        <v>42</v>
      </c>
      <c r="D94" t="s">
        <v>19</v>
      </c>
      <c r="E94" t="s">
        <v>20</v>
      </c>
      <c r="F94">
        <v>520.4</v>
      </c>
      <c r="G94">
        <v>9</v>
      </c>
      <c r="H94">
        <v>3.5</v>
      </c>
      <c r="I94" t="b">
        <v>1</v>
      </c>
      <c r="J94">
        <v>37</v>
      </c>
      <c r="K94" t="s">
        <v>21</v>
      </c>
      <c r="L94" t="str" cm="1">
        <f t="array" ref="L94">_xlfn.IFS(Table1[[#This Row],[Discount Applied]]=TRUE,"Yes",Table1[[#This Row],[Discount Applied]]=FALSE,"No")</f>
        <v>Yes</v>
      </c>
      <c r="M94" t="str" cm="1">
        <f t="array" ref="M94">_xlfn.IFS(Table1[[#This Row],[Age]]&lt;18,"Under 18",Table1[[#This Row],[Age]]&lt;=23,"18-23",Table1[[#This Row],[Age]]&lt;=29,"24-29",Table1[[#This Row],[Age]]&lt;=35,"30-35",Table1[[#This Row],[Age]]&lt;=41,"36-41",Table1[[#This Row],[Age]]&gt;41,"Over 41")</f>
        <v>Over 41</v>
      </c>
      <c r="N94" t="str" cm="1">
        <f t="array" ref="N94">_xlfn.IFS(Table1[[#This Row],[Days Since Last Purchase]]&lt;21,"Active",Table1[[#This Row],[Days Since Last Purchase]]&lt;=42,"Moderately Active",Table1[[#This Row],[Days Since Last Purchase]]&gt;=43, "Inactive")</f>
        <v>Moderately Active</v>
      </c>
      <c r="O94">
        <f>IF(K94="Satisfied",1,IF(K94="Neutral",0.5,IF(K94="Unsatisfied",0,IF(Table1[[#This Row],[Satisfaction Level]]="No Response","0"))))</f>
        <v>0</v>
      </c>
    </row>
    <row r="95" spans="1:15" x14ac:dyDescent="0.45">
      <c r="A95">
        <v>194</v>
      </c>
      <c r="B95" t="s">
        <v>15</v>
      </c>
      <c r="C95">
        <v>29</v>
      </c>
      <c r="D95" t="s">
        <v>22</v>
      </c>
      <c r="E95" t="s">
        <v>13</v>
      </c>
      <c r="F95">
        <v>1370.2</v>
      </c>
      <c r="G95">
        <v>18</v>
      </c>
      <c r="H95">
        <v>4.7</v>
      </c>
      <c r="I95" t="b">
        <v>0</v>
      </c>
      <c r="J95">
        <v>10</v>
      </c>
      <c r="K95" t="s">
        <v>14</v>
      </c>
      <c r="L95" t="str" cm="1">
        <f t="array" ref="L95">_xlfn.IFS(Table1[[#This Row],[Discount Applied]]=TRUE,"Yes",Table1[[#This Row],[Discount Applied]]=FALSE,"No")</f>
        <v>No</v>
      </c>
      <c r="M95" t="str" cm="1">
        <f t="array" ref="M95">_xlfn.IFS(Table1[[#This Row],[Age]]&lt;18,"Under 18",Table1[[#This Row],[Age]]&lt;=23,"18-23",Table1[[#This Row],[Age]]&lt;=29,"24-29",Table1[[#This Row],[Age]]&lt;=35,"30-35",Table1[[#This Row],[Age]]&lt;=41,"36-41",Table1[[#This Row],[Age]]&gt;41,"Over 41")</f>
        <v>24-29</v>
      </c>
      <c r="N95" t="str" cm="1">
        <f t="array" ref="N95">_xlfn.IFS(Table1[[#This Row],[Days Since Last Purchase]]&lt;21,"Active",Table1[[#This Row],[Days Since Last Purchase]]&lt;=42,"Moderately Active",Table1[[#This Row],[Days Since Last Purchase]]&gt;=43, "Inactive")</f>
        <v>Active</v>
      </c>
      <c r="O95">
        <f>IF(K95="Satisfied",1,IF(K95="Neutral",0.5,IF(K95="Unsatisfied",0,IF(Table1[[#This Row],[Satisfaction Level]]="No Response","0"))))</f>
        <v>1</v>
      </c>
    </row>
    <row r="96" spans="1:15" x14ac:dyDescent="0.45">
      <c r="A96">
        <v>195</v>
      </c>
      <c r="B96" t="s">
        <v>15</v>
      </c>
      <c r="C96">
        <v>26</v>
      </c>
      <c r="D96" t="s">
        <v>23</v>
      </c>
      <c r="E96" t="s">
        <v>17</v>
      </c>
      <c r="F96">
        <v>690.6</v>
      </c>
      <c r="G96">
        <v>12</v>
      </c>
      <c r="H96">
        <v>3.9</v>
      </c>
      <c r="I96" t="b">
        <v>1</v>
      </c>
      <c r="J96">
        <v>47</v>
      </c>
      <c r="K96" t="s">
        <v>21</v>
      </c>
      <c r="L96" t="str" cm="1">
        <f t="array" ref="L96">_xlfn.IFS(Table1[[#This Row],[Discount Applied]]=TRUE,"Yes",Table1[[#This Row],[Discount Applied]]=FALSE,"No")</f>
        <v>Yes</v>
      </c>
      <c r="M96" t="str" cm="1">
        <f t="array" ref="M96">_xlfn.IFS(Table1[[#This Row],[Age]]&lt;18,"Under 18",Table1[[#This Row],[Age]]&lt;=23,"18-23",Table1[[#This Row],[Age]]&lt;=29,"24-29",Table1[[#This Row],[Age]]&lt;=35,"30-35",Table1[[#This Row],[Age]]&lt;=41,"36-41",Table1[[#This Row],[Age]]&gt;41,"Over 41")</f>
        <v>24-29</v>
      </c>
      <c r="N96" t="str" cm="1">
        <f t="array" ref="N96">_xlfn.IFS(Table1[[#This Row],[Days Since Last Purchase]]&lt;21,"Active",Table1[[#This Row],[Days Since Last Purchase]]&lt;=42,"Moderately Active",Table1[[#This Row],[Days Since Last Purchase]]&gt;=43, "Inactive")</f>
        <v>Inactive</v>
      </c>
      <c r="O96">
        <f>IF(K96="Satisfied",1,IF(K96="Neutral",0.5,IF(K96="Unsatisfied",0,IF(Table1[[#This Row],[Satisfaction Level]]="No Response","0"))))</f>
        <v>0</v>
      </c>
    </row>
    <row r="97" spans="1:15" x14ac:dyDescent="0.45">
      <c r="A97">
        <v>196</v>
      </c>
      <c r="B97" t="s">
        <v>11</v>
      </c>
      <c r="C97">
        <v>38</v>
      </c>
      <c r="D97" t="s">
        <v>24</v>
      </c>
      <c r="E97" t="s">
        <v>20</v>
      </c>
      <c r="F97">
        <v>440.9</v>
      </c>
      <c r="G97">
        <v>8</v>
      </c>
      <c r="H97">
        <v>3.2</v>
      </c>
      <c r="I97" t="b">
        <v>0</v>
      </c>
      <c r="J97">
        <v>24</v>
      </c>
      <c r="K97" t="s">
        <v>18</v>
      </c>
      <c r="L97" t="str" cm="1">
        <f t="array" ref="L97">_xlfn.IFS(Table1[[#This Row],[Discount Applied]]=TRUE,"Yes",Table1[[#This Row],[Discount Applied]]=FALSE,"No")</f>
        <v>No</v>
      </c>
      <c r="M97" t="str" cm="1">
        <f t="array" ref="M97">_xlfn.IFS(Table1[[#This Row],[Age]]&lt;18,"Under 18",Table1[[#This Row],[Age]]&lt;=23,"18-23",Table1[[#This Row],[Age]]&lt;=29,"24-29",Table1[[#This Row],[Age]]&lt;=35,"30-35",Table1[[#This Row],[Age]]&lt;=41,"36-41",Table1[[#This Row],[Age]]&gt;41,"Over 41")</f>
        <v>36-41</v>
      </c>
      <c r="N97" t="str" cm="1">
        <f t="array" ref="N97">_xlfn.IFS(Table1[[#This Row],[Days Since Last Purchase]]&lt;21,"Active",Table1[[#This Row],[Days Since Last Purchase]]&lt;=42,"Moderately Active",Table1[[#This Row],[Days Since Last Purchase]]&gt;=43, "Inactive")</f>
        <v>Moderately Active</v>
      </c>
      <c r="O97">
        <f>IF(K97="Satisfied",1,IF(K97="Neutral",0.5,IF(K97="Unsatisfied",0,IF(Table1[[#This Row],[Satisfaction Level]]="No Response","0"))))</f>
        <v>0.5</v>
      </c>
    </row>
    <row r="98" spans="1:15" x14ac:dyDescent="0.45">
      <c r="A98">
        <v>197</v>
      </c>
      <c r="B98" t="s">
        <v>11</v>
      </c>
      <c r="C98">
        <v>32</v>
      </c>
      <c r="D98" t="s">
        <v>12</v>
      </c>
      <c r="E98" t="s">
        <v>13</v>
      </c>
      <c r="F98">
        <v>1160.3</v>
      </c>
      <c r="G98">
        <v>14</v>
      </c>
      <c r="H98">
        <v>4.4000000000000004</v>
      </c>
      <c r="I98" t="b">
        <v>1</v>
      </c>
      <c r="J98">
        <v>22</v>
      </c>
      <c r="K98" t="s">
        <v>14</v>
      </c>
      <c r="L98" t="str" cm="1">
        <f t="array" ref="L98">_xlfn.IFS(Table1[[#This Row],[Discount Applied]]=TRUE,"Yes",Table1[[#This Row],[Discount Applied]]=FALSE,"No")</f>
        <v>Yes</v>
      </c>
      <c r="M98" t="str" cm="1">
        <f t="array" ref="M98">_xlfn.IFS(Table1[[#This Row],[Age]]&lt;18,"Under 18",Table1[[#This Row],[Age]]&lt;=23,"18-23",Table1[[#This Row],[Age]]&lt;=29,"24-29",Table1[[#This Row],[Age]]&lt;=35,"30-35",Table1[[#This Row],[Age]]&lt;=41,"36-41",Table1[[#This Row],[Age]]&gt;41,"Over 41")</f>
        <v>30-35</v>
      </c>
      <c r="N98" t="str" cm="1">
        <f t="array" ref="N98">_xlfn.IFS(Table1[[#This Row],[Days Since Last Purchase]]&lt;21,"Active",Table1[[#This Row],[Days Since Last Purchase]]&lt;=42,"Moderately Active",Table1[[#This Row],[Days Since Last Purchase]]&gt;=43, "Inactive")</f>
        <v>Moderately Active</v>
      </c>
      <c r="O98">
        <f>IF(K98="Satisfied",1,IF(K98="Neutral",0.5,IF(K98="Unsatisfied",0,IF(Table1[[#This Row],[Satisfaction Level]]="No Response","0"))))</f>
        <v>1</v>
      </c>
    </row>
    <row r="99" spans="1:15" x14ac:dyDescent="0.45">
      <c r="A99">
        <v>198</v>
      </c>
      <c r="B99" t="s">
        <v>15</v>
      </c>
      <c r="C99">
        <v>34</v>
      </c>
      <c r="D99" t="s">
        <v>16</v>
      </c>
      <c r="E99" t="s">
        <v>17</v>
      </c>
      <c r="F99">
        <v>800.2</v>
      </c>
      <c r="G99">
        <v>11</v>
      </c>
      <c r="H99">
        <v>4.0999999999999996</v>
      </c>
      <c r="I99" t="b">
        <v>0</v>
      </c>
      <c r="J99">
        <v>17</v>
      </c>
      <c r="K99" t="s">
        <v>18</v>
      </c>
      <c r="L99" t="str" cm="1">
        <f t="array" ref="L99">_xlfn.IFS(Table1[[#This Row],[Discount Applied]]=TRUE,"Yes",Table1[[#This Row],[Discount Applied]]=FALSE,"No")</f>
        <v>No</v>
      </c>
      <c r="M99" t="str" cm="1">
        <f t="array" ref="M99">_xlfn.IFS(Table1[[#This Row],[Age]]&lt;18,"Under 18",Table1[[#This Row],[Age]]&lt;=23,"18-23",Table1[[#This Row],[Age]]&lt;=29,"24-29",Table1[[#This Row],[Age]]&lt;=35,"30-35",Table1[[#This Row],[Age]]&lt;=41,"36-41",Table1[[#This Row],[Age]]&gt;41,"Over 41")</f>
        <v>30-35</v>
      </c>
      <c r="N99" t="str" cm="1">
        <f t="array" ref="N99">_xlfn.IFS(Table1[[#This Row],[Days Since Last Purchase]]&lt;21,"Active",Table1[[#This Row],[Days Since Last Purchase]]&lt;=42,"Moderately Active",Table1[[#This Row],[Days Since Last Purchase]]&gt;=43, "Inactive")</f>
        <v>Active</v>
      </c>
      <c r="O99">
        <f>IF(K99="Satisfied",1,IF(K99="Neutral",0.5,IF(K99="Unsatisfied",0,IF(Table1[[#This Row],[Satisfaction Level]]="No Response","0"))))</f>
        <v>0.5</v>
      </c>
    </row>
    <row r="100" spans="1:15" x14ac:dyDescent="0.45">
      <c r="A100">
        <v>199</v>
      </c>
      <c r="B100" t="s">
        <v>11</v>
      </c>
      <c r="C100">
        <v>43</v>
      </c>
      <c r="D100" t="s">
        <v>19</v>
      </c>
      <c r="E100" t="s">
        <v>20</v>
      </c>
      <c r="F100">
        <v>500.75</v>
      </c>
      <c r="G100">
        <v>10</v>
      </c>
      <c r="H100">
        <v>3.3</v>
      </c>
      <c r="I100" t="b">
        <v>1</v>
      </c>
      <c r="J100">
        <v>40</v>
      </c>
      <c r="K100" t="s">
        <v>21</v>
      </c>
      <c r="L100" t="str" cm="1">
        <f t="array" ref="L100">_xlfn.IFS(Table1[[#This Row],[Discount Applied]]=TRUE,"Yes",Table1[[#This Row],[Discount Applied]]=FALSE,"No")</f>
        <v>Yes</v>
      </c>
      <c r="M100" t="str" cm="1">
        <f t="array" ref="M100">_xlfn.IFS(Table1[[#This Row],[Age]]&lt;18,"Under 18",Table1[[#This Row],[Age]]&lt;=23,"18-23",Table1[[#This Row],[Age]]&lt;=29,"24-29",Table1[[#This Row],[Age]]&lt;=35,"30-35",Table1[[#This Row],[Age]]&lt;=41,"36-41",Table1[[#This Row],[Age]]&gt;41,"Over 41")</f>
        <v>Over 41</v>
      </c>
      <c r="N100" t="str" cm="1">
        <f t="array" ref="N100">_xlfn.IFS(Table1[[#This Row],[Days Since Last Purchase]]&lt;21,"Active",Table1[[#This Row],[Days Since Last Purchase]]&lt;=42,"Moderately Active",Table1[[#This Row],[Days Since Last Purchase]]&gt;=43, "Inactive")</f>
        <v>Moderately Active</v>
      </c>
      <c r="O100">
        <f>IF(K100="Satisfied",1,IF(K100="Neutral",0.5,IF(K100="Unsatisfied",0,IF(Table1[[#This Row],[Satisfaction Level]]="No Response","0"))))</f>
        <v>0</v>
      </c>
    </row>
    <row r="101" spans="1:15" x14ac:dyDescent="0.45">
      <c r="A101">
        <v>200</v>
      </c>
      <c r="B101" t="s">
        <v>15</v>
      </c>
      <c r="C101">
        <v>30</v>
      </c>
      <c r="D101" t="s">
        <v>22</v>
      </c>
      <c r="E101" t="s">
        <v>13</v>
      </c>
      <c r="F101">
        <v>1460.5</v>
      </c>
      <c r="G101">
        <v>20</v>
      </c>
      <c r="H101">
        <v>4.8</v>
      </c>
      <c r="I101" t="b">
        <v>0</v>
      </c>
      <c r="J101">
        <v>12</v>
      </c>
      <c r="K101" t="s">
        <v>14</v>
      </c>
      <c r="L101" t="str" cm="1">
        <f t="array" ref="L101">_xlfn.IFS(Table1[[#This Row],[Discount Applied]]=TRUE,"Yes",Table1[[#This Row],[Discount Applied]]=FALSE,"No")</f>
        <v>No</v>
      </c>
      <c r="M101" t="str" cm="1">
        <f t="array" ref="M101">_xlfn.IFS(Table1[[#This Row],[Age]]&lt;18,"Under 18",Table1[[#This Row],[Age]]&lt;=23,"18-23",Table1[[#This Row],[Age]]&lt;=29,"24-29",Table1[[#This Row],[Age]]&lt;=35,"30-35",Table1[[#This Row],[Age]]&lt;=41,"36-41",Table1[[#This Row],[Age]]&gt;41,"Over 41")</f>
        <v>30-35</v>
      </c>
      <c r="N101" t="str" cm="1">
        <f t="array" ref="N101">_xlfn.IFS(Table1[[#This Row],[Days Since Last Purchase]]&lt;21,"Active",Table1[[#This Row],[Days Since Last Purchase]]&lt;=42,"Moderately Active",Table1[[#This Row],[Days Since Last Purchase]]&gt;=43, "Inactive")</f>
        <v>Active</v>
      </c>
      <c r="O101">
        <f>IF(K101="Satisfied",1,IF(K101="Neutral",0.5,IF(K101="Unsatisfied",0,IF(Table1[[#This Row],[Satisfaction Level]]="No Response","0"))))</f>
        <v>1</v>
      </c>
    </row>
    <row r="102" spans="1:15" x14ac:dyDescent="0.45">
      <c r="A102">
        <v>201</v>
      </c>
      <c r="B102" t="s">
        <v>15</v>
      </c>
      <c r="C102">
        <v>27</v>
      </c>
      <c r="D102" t="s">
        <v>23</v>
      </c>
      <c r="E102" t="s">
        <v>17</v>
      </c>
      <c r="F102">
        <v>700.4</v>
      </c>
      <c r="G102">
        <v>13</v>
      </c>
      <c r="H102">
        <v>4</v>
      </c>
      <c r="I102" t="b">
        <v>1</v>
      </c>
      <c r="J102">
        <v>53</v>
      </c>
      <c r="K102" t="s">
        <v>21</v>
      </c>
      <c r="L102" t="str" cm="1">
        <f t="array" ref="L102">_xlfn.IFS(Table1[[#This Row],[Discount Applied]]=TRUE,"Yes",Table1[[#This Row],[Discount Applied]]=FALSE,"No")</f>
        <v>Yes</v>
      </c>
      <c r="M102" t="str" cm="1">
        <f t="array" ref="M102">_xlfn.IFS(Table1[[#This Row],[Age]]&lt;18,"Under 18",Table1[[#This Row],[Age]]&lt;=23,"18-23",Table1[[#This Row],[Age]]&lt;=29,"24-29",Table1[[#This Row],[Age]]&lt;=35,"30-35",Table1[[#This Row],[Age]]&lt;=41,"36-41",Table1[[#This Row],[Age]]&gt;41,"Over 41")</f>
        <v>24-29</v>
      </c>
      <c r="N102" t="str" cm="1">
        <f t="array" ref="N102">_xlfn.IFS(Table1[[#This Row],[Days Since Last Purchase]]&lt;21,"Active",Table1[[#This Row],[Days Since Last Purchase]]&lt;=42,"Moderately Active",Table1[[#This Row],[Days Since Last Purchase]]&gt;=43, "Inactive")</f>
        <v>Inactive</v>
      </c>
      <c r="O102">
        <f>IF(K102="Satisfied",1,IF(K102="Neutral",0.5,IF(K102="Unsatisfied",0,IF(Table1[[#This Row],[Satisfaction Level]]="No Response","0"))))</f>
        <v>0</v>
      </c>
    </row>
    <row r="103" spans="1:15" x14ac:dyDescent="0.45">
      <c r="A103">
        <v>202</v>
      </c>
      <c r="B103" t="s">
        <v>11</v>
      </c>
      <c r="C103">
        <v>37</v>
      </c>
      <c r="D103" t="s">
        <v>24</v>
      </c>
      <c r="E103" t="s">
        <v>20</v>
      </c>
      <c r="F103">
        <v>420.8</v>
      </c>
      <c r="G103">
        <v>7</v>
      </c>
      <c r="H103">
        <v>3.1</v>
      </c>
      <c r="I103" t="b">
        <v>0</v>
      </c>
      <c r="J103">
        <v>21</v>
      </c>
      <c r="K103" t="s">
        <v>18</v>
      </c>
      <c r="L103" t="str" cm="1">
        <f t="array" ref="L103">_xlfn.IFS(Table1[[#This Row],[Discount Applied]]=TRUE,"Yes",Table1[[#This Row],[Discount Applied]]=FALSE,"No")</f>
        <v>No</v>
      </c>
      <c r="M103" t="str" cm="1">
        <f t="array" ref="M103">_xlfn.IFS(Table1[[#This Row],[Age]]&lt;18,"Under 18",Table1[[#This Row],[Age]]&lt;=23,"18-23",Table1[[#This Row],[Age]]&lt;=29,"24-29",Table1[[#This Row],[Age]]&lt;=35,"30-35",Table1[[#This Row],[Age]]&lt;=41,"36-41",Table1[[#This Row],[Age]]&gt;41,"Over 41")</f>
        <v>36-41</v>
      </c>
      <c r="N103" t="str" cm="1">
        <f t="array" ref="N103">_xlfn.IFS(Table1[[#This Row],[Days Since Last Purchase]]&lt;21,"Active",Table1[[#This Row],[Days Since Last Purchase]]&lt;=42,"Moderately Active",Table1[[#This Row],[Days Since Last Purchase]]&gt;=43, "Inactive")</f>
        <v>Moderately Active</v>
      </c>
      <c r="O103">
        <f>IF(K103="Satisfied",1,IF(K103="Neutral",0.5,IF(K103="Unsatisfied",0,IF(Table1[[#This Row],[Satisfaction Level]]="No Response","0"))))</f>
        <v>0.5</v>
      </c>
    </row>
    <row r="104" spans="1:15" x14ac:dyDescent="0.45">
      <c r="A104">
        <v>203</v>
      </c>
      <c r="B104" t="s">
        <v>11</v>
      </c>
      <c r="C104">
        <v>31</v>
      </c>
      <c r="D104" t="s">
        <v>12</v>
      </c>
      <c r="E104" t="s">
        <v>13</v>
      </c>
      <c r="F104">
        <v>1130.5999999999999</v>
      </c>
      <c r="G104">
        <v>15</v>
      </c>
      <c r="H104">
        <v>4.5</v>
      </c>
      <c r="I104" t="b">
        <v>1</v>
      </c>
      <c r="J104">
        <v>26</v>
      </c>
      <c r="K104" t="s">
        <v>14</v>
      </c>
      <c r="L104" t="str" cm="1">
        <f t="array" ref="L104">_xlfn.IFS(Table1[[#This Row],[Discount Applied]]=TRUE,"Yes",Table1[[#This Row],[Discount Applied]]=FALSE,"No")</f>
        <v>Yes</v>
      </c>
      <c r="M104" t="str" cm="1">
        <f t="array" ref="M104">_xlfn.IFS(Table1[[#This Row],[Age]]&lt;18,"Under 18",Table1[[#This Row],[Age]]&lt;=23,"18-23",Table1[[#This Row],[Age]]&lt;=29,"24-29",Table1[[#This Row],[Age]]&lt;=35,"30-35",Table1[[#This Row],[Age]]&lt;=41,"36-41",Table1[[#This Row],[Age]]&gt;41,"Over 41")</f>
        <v>30-35</v>
      </c>
      <c r="N104" t="str" cm="1">
        <f t="array" ref="N104">_xlfn.IFS(Table1[[#This Row],[Days Since Last Purchase]]&lt;21,"Active",Table1[[#This Row],[Days Since Last Purchase]]&lt;=42,"Moderately Active",Table1[[#This Row],[Days Since Last Purchase]]&gt;=43, "Inactive")</f>
        <v>Moderately Active</v>
      </c>
      <c r="O104">
        <f>IF(K104="Satisfied",1,IF(K104="Neutral",0.5,IF(K104="Unsatisfied",0,IF(Table1[[#This Row],[Satisfaction Level]]="No Response","0"))))</f>
        <v>1</v>
      </c>
    </row>
    <row r="105" spans="1:15" x14ac:dyDescent="0.45">
      <c r="A105">
        <v>204</v>
      </c>
      <c r="B105" t="s">
        <v>15</v>
      </c>
      <c r="C105">
        <v>35</v>
      </c>
      <c r="D105" t="s">
        <v>16</v>
      </c>
      <c r="E105" t="s">
        <v>17</v>
      </c>
      <c r="F105">
        <v>820.9</v>
      </c>
      <c r="G105">
        <v>12</v>
      </c>
      <c r="H105">
        <v>4.3</v>
      </c>
      <c r="I105" t="b">
        <v>0</v>
      </c>
      <c r="J105">
        <v>12</v>
      </c>
      <c r="K105" t="s">
        <v>18</v>
      </c>
      <c r="L105" t="str" cm="1">
        <f t="array" ref="L105">_xlfn.IFS(Table1[[#This Row],[Discount Applied]]=TRUE,"Yes",Table1[[#This Row],[Discount Applied]]=FALSE,"No")</f>
        <v>No</v>
      </c>
      <c r="M105" t="str" cm="1">
        <f t="array" ref="M105">_xlfn.IFS(Table1[[#This Row],[Age]]&lt;18,"Under 18",Table1[[#This Row],[Age]]&lt;=23,"18-23",Table1[[#This Row],[Age]]&lt;=29,"24-29",Table1[[#This Row],[Age]]&lt;=35,"30-35",Table1[[#This Row],[Age]]&lt;=41,"36-41",Table1[[#This Row],[Age]]&gt;41,"Over 41")</f>
        <v>30-35</v>
      </c>
      <c r="N105" t="str" cm="1">
        <f t="array" ref="N105">_xlfn.IFS(Table1[[#This Row],[Days Since Last Purchase]]&lt;21,"Active",Table1[[#This Row],[Days Since Last Purchase]]&lt;=42,"Moderately Active",Table1[[#This Row],[Days Since Last Purchase]]&gt;=43, "Inactive")</f>
        <v>Active</v>
      </c>
      <c r="O105">
        <f>IF(K105="Satisfied",1,IF(K105="Neutral",0.5,IF(K105="Unsatisfied",0,IF(Table1[[#This Row],[Satisfaction Level]]="No Response","0"))))</f>
        <v>0.5</v>
      </c>
    </row>
    <row r="106" spans="1:15" x14ac:dyDescent="0.45">
      <c r="A106">
        <v>205</v>
      </c>
      <c r="B106" t="s">
        <v>11</v>
      </c>
      <c r="C106">
        <v>41</v>
      </c>
      <c r="D106" t="s">
        <v>19</v>
      </c>
      <c r="E106" t="s">
        <v>20</v>
      </c>
      <c r="F106">
        <v>480.25</v>
      </c>
      <c r="G106">
        <v>9</v>
      </c>
      <c r="H106">
        <v>3.6</v>
      </c>
      <c r="I106" t="b">
        <v>1</v>
      </c>
      <c r="J106">
        <v>38</v>
      </c>
      <c r="K106" t="s">
        <v>21</v>
      </c>
      <c r="L106" t="str" cm="1">
        <f t="array" ref="L106">_xlfn.IFS(Table1[[#This Row],[Discount Applied]]=TRUE,"Yes",Table1[[#This Row],[Discount Applied]]=FALSE,"No")</f>
        <v>Yes</v>
      </c>
      <c r="M106" t="str" cm="1">
        <f t="array" ref="M106">_xlfn.IFS(Table1[[#This Row],[Age]]&lt;18,"Under 18",Table1[[#This Row],[Age]]&lt;=23,"18-23",Table1[[#This Row],[Age]]&lt;=29,"24-29",Table1[[#This Row],[Age]]&lt;=35,"30-35",Table1[[#This Row],[Age]]&lt;=41,"36-41",Table1[[#This Row],[Age]]&gt;41,"Over 41")</f>
        <v>36-41</v>
      </c>
      <c r="N106" t="str" cm="1">
        <f t="array" ref="N106">_xlfn.IFS(Table1[[#This Row],[Days Since Last Purchase]]&lt;21,"Active",Table1[[#This Row],[Days Since Last Purchase]]&lt;=42,"Moderately Active",Table1[[#This Row],[Days Since Last Purchase]]&gt;=43, "Inactive")</f>
        <v>Moderately Active</v>
      </c>
      <c r="O106">
        <f>IF(K106="Satisfied",1,IF(K106="Neutral",0.5,IF(K106="Unsatisfied",0,IF(Table1[[#This Row],[Satisfaction Level]]="No Response","0"))))</f>
        <v>0</v>
      </c>
    </row>
    <row r="107" spans="1:15" x14ac:dyDescent="0.45">
      <c r="A107">
        <v>206</v>
      </c>
      <c r="B107" t="s">
        <v>15</v>
      </c>
      <c r="C107">
        <v>28</v>
      </c>
      <c r="D107" t="s">
        <v>22</v>
      </c>
      <c r="E107" t="s">
        <v>13</v>
      </c>
      <c r="F107">
        <v>1490.1</v>
      </c>
      <c r="G107">
        <v>21</v>
      </c>
      <c r="H107">
        <v>4.9000000000000004</v>
      </c>
      <c r="I107" t="b">
        <v>0</v>
      </c>
      <c r="J107">
        <v>9</v>
      </c>
      <c r="K107" t="s">
        <v>14</v>
      </c>
      <c r="L107" t="str" cm="1">
        <f t="array" ref="L107">_xlfn.IFS(Table1[[#This Row],[Discount Applied]]=TRUE,"Yes",Table1[[#This Row],[Discount Applied]]=FALSE,"No")</f>
        <v>No</v>
      </c>
      <c r="M107" t="str" cm="1">
        <f t="array" ref="M107">_xlfn.IFS(Table1[[#This Row],[Age]]&lt;18,"Under 18",Table1[[#This Row],[Age]]&lt;=23,"18-23",Table1[[#This Row],[Age]]&lt;=29,"24-29",Table1[[#This Row],[Age]]&lt;=35,"30-35",Table1[[#This Row],[Age]]&lt;=41,"36-41",Table1[[#This Row],[Age]]&gt;41,"Over 41")</f>
        <v>24-29</v>
      </c>
      <c r="N107" t="str" cm="1">
        <f t="array" ref="N107">_xlfn.IFS(Table1[[#This Row],[Days Since Last Purchase]]&lt;21,"Active",Table1[[#This Row],[Days Since Last Purchase]]&lt;=42,"Moderately Active",Table1[[#This Row],[Days Since Last Purchase]]&gt;=43, "Inactive")</f>
        <v>Active</v>
      </c>
      <c r="O107">
        <f>IF(K107="Satisfied",1,IF(K107="Neutral",0.5,IF(K107="Unsatisfied",0,IF(Table1[[#This Row],[Satisfaction Level]]="No Response","0"))))</f>
        <v>1</v>
      </c>
    </row>
    <row r="108" spans="1:15" x14ac:dyDescent="0.45">
      <c r="A108">
        <v>207</v>
      </c>
      <c r="B108" t="s">
        <v>15</v>
      </c>
      <c r="C108">
        <v>32</v>
      </c>
      <c r="D108" t="s">
        <v>23</v>
      </c>
      <c r="E108" t="s">
        <v>17</v>
      </c>
      <c r="F108">
        <v>680.3</v>
      </c>
      <c r="G108">
        <v>10</v>
      </c>
      <c r="H108">
        <v>3.8</v>
      </c>
      <c r="I108" t="b">
        <v>1</v>
      </c>
      <c r="J108">
        <v>32</v>
      </c>
      <c r="K108" t="s">
        <v>21</v>
      </c>
      <c r="L108" t="str" cm="1">
        <f t="array" ref="L108">_xlfn.IFS(Table1[[#This Row],[Discount Applied]]=TRUE,"Yes",Table1[[#This Row],[Discount Applied]]=FALSE,"No")</f>
        <v>Yes</v>
      </c>
      <c r="M108" t="str" cm="1">
        <f t="array" ref="M108">_xlfn.IFS(Table1[[#This Row],[Age]]&lt;18,"Under 18",Table1[[#This Row],[Age]]&lt;=23,"18-23",Table1[[#This Row],[Age]]&lt;=29,"24-29",Table1[[#This Row],[Age]]&lt;=35,"30-35",Table1[[#This Row],[Age]]&lt;=41,"36-41",Table1[[#This Row],[Age]]&gt;41,"Over 41")</f>
        <v>30-35</v>
      </c>
      <c r="N108" t="str" cm="1">
        <f t="array" ref="N108">_xlfn.IFS(Table1[[#This Row],[Days Since Last Purchase]]&lt;21,"Active",Table1[[#This Row],[Days Since Last Purchase]]&lt;=42,"Moderately Active",Table1[[#This Row],[Days Since Last Purchase]]&gt;=43, "Inactive")</f>
        <v>Moderately Active</v>
      </c>
      <c r="O108">
        <f>IF(K108="Satisfied",1,IF(K108="Neutral",0.5,IF(K108="Unsatisfied",0,IF(Table1[[#This Row],[Satisfaction Level]]="No Response","0"))))</f>
        <v>0</v>
      </c>
    </row>
    <row r="109" spans="1:15" x14ac:dyDescent="0.45">
      <c r="A109">
        <v>208</v>
      </c>
      <c r="B109" t="s">
        <v>11</v>
      </c>
      <c r="C109">
        <v>36</v>
      </c>
      <c r="D109" t="s">
        <v>24</v>
      </c>
      <c r="E109" t="s">
        <v>20</v>
      </c>
      <c r="F109">
        <v>470.5</v>
      </c>
      <c r="G109">
        <v>8</v>
      </c>
      <c r="H109">
        <v>3</v>
      </c>
      <c r="I109" t="b">
        <v>0</v>
      </c>
      <c r="J109">
        <v>18</v>
      </c>
      <c r="K109" t="s">
        <v>18</v>
      </c>
      <c r="L109" t="str" cm="1">
        <f t="array" ref="L109">_xlfn.IFS(Table1[[#This Row],[Discount Applied]]=TRUE,"Yes",Table1[[#This Row],[Discount Applied]]=FALSE,"No")</f>
        <v>No</v>
      </c>
      <c r="M109" t="str" cm="1">
        <f t="array" ref="M109">_xlfn.IFS(Table1[[#This Row],[Age]]&lt;18,"Under 18",Table1[[#This Row],[Age]]&lt;=23,"18-23",Table1[[#This Row],[Age]]&lt;=29,"24-29",Table1[[#This Row],[Age]]&lt;=35,"30-35",Table1[[#This Row],[Age]]&lt;=41,"36-41",Table1[[#This Row],[Age]]&gt;41,"Over 41")</f>
        <v>36-41</v>
      </c>
      <c r="N109" t="str" cm="1">
        <f t="array" ref="N109">_xlfn.IFS(Table1[[#This Row],[Days Since Last Purchase]]&lt;21,"Active",Table1[[#This Row],[Days Since Last Purchase]]&lt;=42,"Moderately Active",Table1[[#This Row],[Days Since Last Purchase]]&gt;=43, "Inactive")</f>
        <v>Active</v>
      </c>
      <c r="O109">
        <f>IF(K109="Satisfied",1,IF(K109="Neutral",0.5,IF(K109="Unsatisfied",0,IF(Table1[[#This Row],[Satisfaction Level]]="No Response","0"))))</f>
        <v>0.5</v>
      </c>
    </row>
    <row r="110" spans="1:15" x14ac:dyDescent="0.45">
      <c r="A110">
        <v>209</v>
      </c>
      <c r="B110" t="s">
        <v>11</v>
      </c>
      <c r="C110">
        <v>30</v>
      </c>
      <c r="D110" t="s">
        <v>12</v>
      </c>
      <c r="E110" t="s">
        <v>13</v>
      </c>
      <c r="F110">
        <v>1180.8</v>
      </c>
      <c r="G110">
        <v>16</v>
      </c>
      <c r="H110">
        <v>4.7</v>
      </c>
      <c r="I110" t="b">
        <v>1</v>
      </c>
      <c r="J110">
        <v>19</v>
      </c>
      <c r="K110" t="s">
        <v>14</v>
      </c>
      <c r="L110" t="str" cm="1">
        <f t="array" ref="L110">_xlfn.IFS(Table1[[#This Row],[Discount Applied]]=TRUE,"Yes",Table1[[#This Row],[Discount Applied]]=FALSE,"No")</f>
        <v>Yes</v>
      </c>
      <c r="M110" t="str" cm="1">
        <f t="array" ref="M110">_xlfn.IFS(Table1[[#This Row],[Age]]&lt;18,"Under 18",Table1[[#This Row],[Age]]&lt;=23,"18-23",Table1[[#This Row],[Age]]&lt;=29,"24-29",Table1[[#This Row],[Age]]&lt;=35,"30-35",Table1[[#This Row],[Age]]&lt;=41,"36-41",Table1[[#This Row],[Age]]&gt;41,"Over 41")</f>
        <v>30-35</v>
      </c>
      <c r="N110" t="str" cm="1">
        <f t="array" ref="N110">_xlfn.IFS(Table1[[#This Row],[Days Since Last Purchase]]&lt;21,"Active",Table1[[#This Row],[Days Since Last Purchase]]&lt;=42,"Moderately Active",Table1[[#This Row],[Days Since Last Purchase]]&gt;=43, "Inactive")</f>
        <v>Active</v>
      </c>
      <c r="O110">
        <f>IF(K110="Satisfied",1,IF(K110="Neutral",0.5,IF(K110="Unsatisfied",0,IF(Table1[[#This Row],[Satisfaction Level]]="No Response","0"))))</f>
        <v>1</v>
      </c>
    </row>
    <row r="111" spans="1:15" x14ac:dyDescent="0.45">
      <c r="A111">
        <v>210</v>
      </c>
      <c r="B111" t="s">
        <v>15</v>
      </c>
      <c r="C111">
        <v>34</v>
      </c>
      <c r="D111" t="s">
        <v>16</v>
      </c>
      <c r="E111" t="s">
        <v>17</v>
      </c>
      <c r="F111">
        <v>790.2</v>
      </c>
      <c r="G111">
        <v>11</v>
      </c>
      <c r="H111">
        <v>4</v>
      </c>
      <c r="I111" t="b">
        <v>0</v>
      </c>
      <c r="J111">
        <v>15</v>
      </c>
      <c r="K111" t="s">
        <v>18</v>
      </c>
      <c r="L111" t="str" cm="1">
        <f t="array" ref="L111">_xlfn.IFS(Table1[[#This Row],[Discount Applied]]=TRUE,"Yes",Table1[[#This Row],[Discount Applied]]=FALSE,"No")</f>
        <v>No</v>
      </c>
      <c r="M111" t="str" cm="1">
        <f t="array" ref="M111">_xlfn.IFS(Table1[[#This Row],[Age]]&lt;18,"Under 18",Table1[[#This Row],[Age]]&lt;=23,"18-23",Table1[[#This Row],[Age]]&lt;=29,"24-29",Table1[[#This Row],[Age]]&lt;=35,"30-35",Table1[[#This Row],[Age]]&lt;=41,"36-41",Table1[[#This Row],[Age]]&gt;41,"Over 41")</f>
        <v>30-35</v>
      </c>
      <c r="N111" t="str" cm="1">
        <f t="array" ref="N111">_xlfn.IFS(Table1[[#This Row],[Days Since Last Purchase]]&lt;21,"Active",Table1[[#This Row],[Days Since Last Purchase]]&lt;=42,"Moderately Active",Table1[[#This Row],[Days Since Last Purchase]]&gt;=43, "Inactive")</f>
        <v>Active</v>
      </c>
      <c r="O111">
        <f>IF(K111="Satisfied",1,IF(K111="Neutral",0.5,IF(K111="Unsatisfied",0,IF(Table1[[#This Row],[Satisfaction Level]]="No Response","0"))))</f>
        <v>0.5</v>
      </c>
    </row>
    <row r="112" spans="1:15" x14ac:dyDescent="0.45">
      <c r="A112">
        <v>211</v>
      </c>
      <c r="B112" t="s">
        <v>11</v>
      </c>
      <c r="C112">
        <v>43</v>
      </c>
      <c r="D112" t="s">
        <v>19</v>
      </c>
      <c r="E112" t="s">
        <v>20</v>
      </c>
      <c r="F112">
        <v>505.75</v>
      </c>
      <c r="G112">
        <v>10</v>
      </c>
      <c r="H112">
        <v>3.3</v>
      </c>
      <c r="I112" t="b">
        <v>1</v>
      </c>
      <c r="J112">
        <v>39</v>
      </c>
      <c r="K112" t="s">
        <v>21</v>
      </c>
      <c r="L112" t="str" cm="1">
        <f t="array" ref="L112">_xlfn.IFS(Table1[[#This Row],[Discount Applied]]=TRUE,"Yes",Table1[[#This Row],[Discount Applied]]=FALSE,"No")</f>
        <v>Yes</v>
      </c>
      <c r="M112" t="str" cm="1">
        <f t="array" ref="M112">_xlfn.IFS(Table1[[#This Row],[Age]]&lt;18,"Under 18",Table1[[#This Row],[Age]]&lt;=23,"18-23",Table1[[#This Row],[Age]]&lt;=29,"24-29",Table1[[#This Row],[Age]]&lt;=35,"30-35",Table1[[#This Row],[Age]]&lt;=41,"36-41",Table1[[#This Row],[Age]]&gt;41,"Over 41")</f>
        <v>Over 41</v>
      </c>
      <c r="N112" t="str" cm="1">
        <f t="array" ref="N112">_xlfn.IFS(Table1[[#This Row],[Days Since Last Purchase]]&lt;21,"Active",Table1[[#This Row],[Days Since Last Purchase]]&lt;=42,"Moderately Active",Table1[[#This Row],[Days Since Last Purchase]]&gt;=43, "Inactive")</f>
        <v>Moderately Active</v>
      </c>
      <c r="O112">
        <f>IF(K112="Satisfied",1,IF(K112="Neutral",0.5,IF(K112="Unsatisfied",0,IF(Table1[[#This Row],[Satisfaction Level]]="No Response","0"))))</f>
        <v>0</v>
      </c>
    </row>
    <row r="113" spans="1:15" x14ac:dyDescent="0.45">
      <c r="A113">
        <v>212</v>
      </c>
      <c r="B113" t="s">
        <v>15</v>
      </c>
      <c r="C113">
        <v>30</v>
      </c>
      <c r="D113" t="s">
        <v>22</v>
      </c>
      <c r="E113" t="s">
        <v>13</v>
      </c>
      <c r="F113">
        <v>1470.5</v>
      </c>
      <c r="G113">
        <v>20</v>
      </c>
      <c r="H113">
        <v>4.8</v>
      </c>
      <c r="I113" t="b">
        <v>0</v>
      </c>
      <c r="J113">
        <v>13</v>
      </c>
      <c r="K113" t="s">
        <v>14</v>
      </c>
      <c r="L113" t="str" cm="1">
        <f t="array" ref="L113">_xlfn.IFS(Table1[[#This Row],[Discount Applied]]=TRUE,"Yes",Table1[[#This Row],[Discount Applied]]=FALSE,"No")</f>
        <v>No</v>
      </c>
      <c r="M113" t="str" cm="1">
        <f t="array" ref="M113">_xlfn.IFS(Table1[[#This Row],[Age]]&lt;18,"Under 18",Table1[[#This Row],[Age]]&lt;=23,"18-23",Table1[[#This Row],[Age]]&lt;=29,"24-29",Table1[[#This Row],[Age]]&lt;=35,"30-35",Table1[[#This Row],[Age]]&lt;=41,"36-41",Table1[[#This Row],[Age]]&gt;41,"Over 41")</f>
        <v>30-35</v>
      </c>
      <c r="N113" t="str" cm="1">
        <f t="array" ref="N113">_xlfn.IFS(Table1[[#This Row],[Days Since Last Purchase]]&lt;21,"Active",Table1[[#This Row],[Days Since Last Purchase]]&lt;=42,"Moderately Active",Table1[[#This Row],[Days Since Last Purchase]]&gt;=43, "Inactive")</f>
        <v>Active</v>
      </c>
      <c r="O113">
        <f>IF(K113="Satisfied",1,IF(K113="Neutral",0.5,IF(K113="Unsatisfied",0,IF(Table1[[#This Row],[Satisfaction Level]]="No Response","0"))))</f>
        <v>1</v>
      </c>
    </row>
    <row r="114" spans="1:15" x14ac:dyDescent="0.45">
      <c r="A114">
        <v>213</v>
      </c>
      <c r="B114" t="s">
        <v>15</v>
      </c>
      <c r="C114">
        <v>27</v>
      </c>
      <c r="D114" t="s">
        <v>23</v>
      </c>
      <c r="E114" t="s">
        <v>17</v>
      </c>
      <c r="F114">
        <v>710.4</v>
      </c>
      <c r="G114">
        <v>13</v>
      </c>
      <c r="H114">
        <v>4.0999999999999996</v>
      </c>
      <c r="I114" t="b">
        <v>1</v>
      </c>
      <c r="J114">
        <v>54</v>
      </c>
      <c r="K114" t="s">
        <v>21</v>
      </c>
      <c r="L114" t="str" cm="1">
        <f t="array" ref="L114">_xlfn.IFS(Table1[[#This Row],[Discount Applied]]=TRUE,"Yes",Table1[[#This Row],[Discount Applied]]=FALSE,"No")</f>
        <v>Yes</v>
      </c>
      <c r="M114" t="str" cm="1">
        <f t="array" ref="M114">_xlfn.IFS(Table1[[#This Row],[Age]]&lt;18,"Under 18",Table1[[#This Row],[Age]]&lt;=23,"18-23",Table1[[#This Row],[Age]]&lt;=29,"24-29",Table1[[#This Row],[Age]]&lt;=35,"30-35",Table1[[#This Row],[Age]]&lt;=41,"36-41",Table1[[#This Row],[Age]]&gt;41,"Over 41")</f>
        <v>24-29</v>
      </c>
      <c r="N114" t="str" cm="1">
        <f t="array" ref="N114">_xlfn.IFS(Table1[[#This Row],[Days Since Last Purchase]]&lt;21,"Active",Table1[[#This Row],[Days Since Last Purchase]]&lt;=42,"Moderately Active",Table1[[#This Row],[Days Since Last Purchase]]&gt;=43, "Inactive")</f>
        <v>Inactive</v>
      </c>
      <c r="O114">
        <f>IF(K114="Satisfied",1,IF(K114="Neutral",0.5,IF(K114="Unsatisfied",0,IF(Table1[[#This Row],[Satisfaction Level]]="No Response","0"))))</f>
        <v>0</v>
      </c>
    </row>
    <row r="115" spans="1:15" x14ac:dyDescent="0.45">
      <c r="A115">
        <v>214</v>
      </c>
      <c r="B115" t="s">
        <v>11</v>
      </c>
      <c r="C115">
        <v>37</v>
      </c>
      <c r="D115" t="s">
        <v>24</v>
      </c>
      <c r="E115" t="s">
        <v>20</v>
      </c>
      <c r="F115">
        <v>430.8</v>
      </c>
      <c r="G115">
        <v>7</v>
      </c>
      <c r="H115">
        <v>3.4</v>
      </c>
      <c r="I115" t="b">
        <v>0</v>
      </c>
      <c r="J115">
        <v>23</v>
      </c>
      <c r="K115" t="s">
        <v>18</v>
      </c>
      <c r="L115" t="str" cm="1">
        <f t="array" ref="L115">_xlfn.IFS(Table1[[#This Row],[Discount Applied]]=TRUE,"Yes",Table1[[#This Row],[Discount Applied]]=FALSE,"No")</f>
        <v>No</v>
      </c>
      <c r="M115" t="str" cm="1">
        <f t="array" ref="M115">_xlfn.IFS(Table1[[#This Row],[Age]]&lt;18,"Under 18",Table1[[#This Row],[Age]]&lt;=23,"18-23",Table1[[#This Row],[Age]]&lt;=29,"24-29",Table1[[#This Row],[Age]]&lt;=35,"30-35",Table1[[#This Row],[Age]]&lt;=41,"36-41",Table1[[#This Row],[Age]]&gt;41,"Over 41")</f>
        <v>36-41</v>
      </c>
      <c r="N115" t="str" cm="1">
        <f t="array" ref="N115">_xlfn.IFS(Table1[[#This Row],[Days Since Last Purchase]]&lt;21,"Active",Table1[[#This Row],[Days Since Last Purchase]]&lt;=42,"Moderately Active",Table1[[#This Row],[Days Since Last Purchase]]&gt;=43, "Inactive")</f>
        <v>Moderately Active</v>
      </c>
      <c r="O115">
        <f>IF(K115="Satisfied",1,IF(K115="Neutral",0.5,IF(K115="Unsatisfied",0,IF(Table1[[#This Row],[Satisfaction Level]]="No Response","0"))))</f>
        <v>0.5</v>
      </c>
    </row>
    <row r="116" spans="1:15" x14ac:dyDescent="0.45">
      <c r="A116">
        <v>215</v>
      </c>
      <c r="B116" t="s">
        <v>11</v>
      </c>
      <c r="C116">
        <v>31</v>
      </c>
      <c r="D116" t="s">
        <v>12</v>
      </c>
      <c r="E116" t="s">
        <v>13</v>
      </c>
      <c r="F116">
        <v>1140.5999999999999</v>
      </c>
      <c r="G116">
        <v>15</v>
      </c>
      <c r="H116">
        <v>4.5999999999999996</v>
      </c>
      <c r="I116" t="b">
        <v>1</v>
      </c>
      <c r="J116">
        <v>27</v>
      </c>
      <c r="K116" t="s">
        <v>14</v>
      </c>
      <c r="L116" t="str" cm="1">
        <f t="array" ref="L116">_xlfn.IFS(Table1[[#This Row],[Discount Applied]]=TRUE,"Yes",Table1[[#This Row],[Discount Applied]]=FALSE,"No")</f>
        <v>Yes</v>
      </c>
      <c r="M116" t="str" cm="1">
        <f t="array" ref="M116">_xlfn.IFS(Table1[[#This Row],[Age]]&lt;18,"Under 18",Table1[[#This Row],[Age]]&lt;=23,"18-23",Table1[[#This Row],[Age]]&lt;=29,"24-29",Table1[[#This Row],[Age]]&lt;=35,"30-35",Table1[[#This Row],[Age]]&lt;=41,"36-41",Table1[[#This Row],[Age]]&gt;41,"Over 41")</f>
        <v>30-35</v>
      </c>
      <c r="N116" t="str" cm="1">
        <f t="array" ref="N116">_xlfn.IFS(Table1[[#This Row],[Days Since Last Purchase]]&lt;21,"Active",Table1[[#This Row],[Days Since Last Purchase]]&lt;=42,"Moderately Active",Table1[[#This Row],[Days Since Last Purchase]]&gt;=43, "Inactive")</f>
        <v>Moderately Active</v>
      </c>
      <c r="O116">
        <f>IF(K116="Satisfied",1,IF(K116="Neutral",0.5,IF(K116="Unsatisfied",0,IF(Table1[[#This Row],[Satisfaction Level]]="No Response","0"))))</f>
        <v>1</v>
      </c>
    </row>
    <row r="117" spans="1:15" x14ac:dyDescent="0.45">
      <c r="A117">
        <v>216</v>
      </c>
      <c r="B117" t="s">
        <v>15</v>
      </c>
      <c r="C117">
        <v>35</v>
      </c>
      <c r="D117" t="s">
        <v>16</v>
      </c>
      <c r="E117" t="s">
        <v>17</v>
      </c>
      <c r="F117">
        <v>810.9</v>
      </c>
      <c r="G117">
        <v>12</v>
      </c>
      <c r="H117">
        <v>4.3</v>
      </c>
      <c r="I117" t="b">
        <v>0</v>
      </c>
      <c r="J117">
        <v>13</v>
      </c>
      <c r="K117" t="s">
        <v>18</v>
      </c>
      <c r="L117" t="str" cm="1">
        <f t="array" ref="L117">_xlfn.IFS(Table1[[#This Row],[Discount Applied]]=TRUE,"Yes",Table1[[#This Row],[Discount Applied]]=FALSE,"No")</f>
        <v>No</v>
      </c>
      <c r="M117" t="str" cm="1">
        <f t="array" ref="M117">_xlfn.IFS(Table1[[#This Row],[Age]]&lt;18,"Under 18",Table1[[#This Row],[Age]]&lt;=23,"18-23",Table1[[#This Row],[Age]]&lt;=29,"24-29",Table1[[#This Row],[Age]]&lt;=35,"30-35",Table1[[#This Row],[Age]]&lt;=41,"36-41",Table1[[#This Row],[Age]]&gt;41,"Over 41")</f>
        <v>30-35</v>
      </c>
      <c r="N117" t="str" cm="1">
        <f t="array" ref="N117">_xlfn.IFS(Table1[[#This Row],[Days Since Last Purchase]]&lt;21,"Active",Table1[[#This Row],[Days Since Last Purchase]]&lt;=42,"Moderately Active",Table1[[#This Row],[Days Since Last Purchase]]&gt;=43, "Inactive")</f>
        <v>Active</v>
      </c>
      <c r="O117">
        <f>IF(K117="Satisfied",1,IF(K117="Neutral",0.5,IF(K117="Unsatisfied",0,IF(Table1[[#This Row],[Satisfaction Level]]="No Response","0"))))</f>
        <v>0.5</v>
      </c>
    </row>
    <row r="118" spans="1:15" x14ac:dyDescent="0.45">
      <c r="A118">
        <v>217</v>
      </c>
      <c r="B118" t="s">
        <v>11</v>
      </c>
      <c r="C118">
        <v>41</v>
      </c>
      <c r="D118" t="s">
        <v>19</v>
      </c>
      <c r="E118" t="s">
        <v>20</v>
      </c>
      <c r="F118">
        <v>485.25</v>
      </c>
      <c r="G118">
        <v>9</v>
      </c>
      <c r="H118">
        <v>3.6</v>
      </c>
      <c r="I118" t="b">
        <v>1</v>
      </c>
      <c r="J118">
        <v>39</v>
      </c>
      <c r="K118" t="s">
        <v>21</v>
      </c>
      <c r="L118" t="str" cm="1">
        <f t="array" ref="L118">_xlfn.IFS(Table1[[#This Row],[Discount Applied]]=TRUE,"Yes",Table1[[#This Row],[Discount Applied]]=FALSE,"No")</f>
        <v>Yes</v>
      </c>
      <c r="M118" t="str" cm="1">
        <f t="array" ref="M118">_xlfn.IFS(Table1[[#This Row],[Age]]&lt;18,"Under 18",Table1[[#This Row],[Age]]&lt;=23,"18-23",Table1[[#This Row],[Age]]&lt;=29,"24-29",Table1[[#This Row],[Age]]&lt;=35,"30-35",Table1[[#This Row],[Age]]&lt;=41,"36-41",Table1[[#This Row],[Age]]&gt;41,"Over 41")</f>
        <v>36-41</v>
      </c>
      <c r="N118" t="str" cm="1">
        <f t="array" ref="N118">_xlfn.IFS(Table1[[#This Row],[Days Since Last Purchase]]&lt;21,"Active",Table1[[#This Row],[Days Since Last Purchase]]&lt;=42,"Moderately Active",Table1[[#This Row],[Days Since Last Purchase]]&gt;=43, "Inactive")</f>
        <v>Moderately Active</v>
      </c>
      <c r="O118">
        <f>IF(K118="Satisfied",1,IF(K118="Neutral",0.5,IF(K118="Unsatisfied",0,IF(Table1[[#This Row],[Satisfaction Level]]="No Response","0"))))</f>
        <v>0</v>
      </c>
    </row>
    <row r="119" spans="1:15" x14ac:dyDescent="0.45">
      <c r="A119">
        <v>218</v>
      </c>
      <c r="B119" t="s">
        <v>15</v>
      </c>
      <c r="C119">
        <v>28</v>
      </c>
      <c r="D119" t="s">
        <v>22</v>
      </c>
      <c r="E119" t="s">
        <v>13</v>
      </c>
      <c r="F119">
        <v>1500.1</v>
      </c>
      <c r="G119">
        <v>21</v>
      </c>
      <c r="H119">
        <v>4.9000000000000004</v>
      </c>
      <c r="I119" t="b">
        <v>0</v>
      </c>
      <c r="J119">
        <v>10</v>
      </c>
      <c r="K119" t="s">
        <v>14</v>
      </c>
      <c r="L119" t="str" cm="1">
        <f t="array" ref="L119">_xlfn.IFS(Table1[[#This Row],[Discount Applied]]=TRUE,"Yes",Table1[[#This Row],[Discount Applied]]=FALSE,"No")</f>
        <v>No</v>
      </c>
      <c r="M119" t="str" cm="1">
        <f t="array" ref="M119">_xlfn.IFS(Table1[[#This Row],[Age]]&lt;18,"Under 18",Table1[[#This Row],[Age]]&lt;=23,"18-23",Table1[[#This Row],[Age]]&lt;=29,"24-29",Table1[[#This Row],[Age]]&lt;=35,"30-35",Table1[[#This Row],[Age]]&lt;=41,"36-41",Table1[[#This Row],[Age]]&gt;41,"Over 41")</f>
        <v>24-29</v>
      </c>
      <c r="N119" t="str" cm="1">
        <f t="array" ref="N119">_xlfn.IFS(Table1[[#This Row],[Days Since Last Purchase]]&lt;21,"Active",Table1[[#This Row],[Days Since Last Purchase]]&lt;=42,"Moderately Active",Table1[[#This Row],[Days Since Last Purchase]]&gt;=43, "Inactive")</f>
        <v>Active</v>
      </c>
      <c r="O119">
        <f>IF(K119="Satisfied",1,IF(K119="Neutral",0.5,IF(K119="Unsatisfied",0,IF(Table1[[#This Row],[Satisfaction Level]]="No Response","0"))))</f>
        <v>1</v>
      </c>
    </row>
    <row r="120" spans="1:15" x14ac:dyDescent="0.45">
      <c r="A120">
        <v>219</v>
      </c>
      <c r="B120" t="s">
        <v>15</v>
      </c>
      <c r="C120">
        <v>32</v>
      </c>
      <c r="D120" t="s">
        <v>23</v>
      </c>
      <c r="E120" t="s">
        <v>17</v>
      </c>
      <c r="F120">
        <v>670.3</v>
      </c>
      <c r="G120">
        <v>10</v>
      </c>
      <c r="H120">
        <v>3.8</v>
      </c>
      <c r="I120" t="b">
        <v>1</v>
      </c>
      <c r="J120">
        <v>33</v>
      </c>
      <c r="K120" t="s">
        <v>21</v>
      </c>
      <c r="L120" t="str" cm="1">
        <f t="array" ref="L120">_xlfn.IFS(Table1[[#This Row],[Discount Applied]]=TRUE,"Yes",Table1[[#This Row],[Discount Applied]]=FALSE,"No")</f>
        <v>Yes</v>
      </c>
      <c r="M120" t="str" cm="1">
        <f t="array" ref="M120">_xlfn.IFS(Table1[[#This Row],[Age]]&lt;18,"Under 18",Table1[[#This Row],[Age]]&lt;=23,"18-23",Table1[[#This Row],[Age]]&lt;=29,"24-29",Table1[[#This Row],[Age]]&lt;=35,"30-35",Table1[[#This Row],[Age]]&lt;=41,"36-41",Table1[[#This Row],[Age]]&gt;41,"Over 41")</f>
        <v>30-35</v>
      </c>
      <c r="N120" t="str" cm="1">
        <f t="array" ref="N120">_xlfn.IFS(Table1[[#This Row],[Days Since Last Purchase]]&lt;21,"Active",Table1[[#This Row],[Days Since Last Purchase]]&lt;=42,"Moderately Active",Table1[[#This Row],[Days Since Last Purchase]]&gt;=43, "Inactive")</f>
        <v>Moderately Active</v>
      </c>
      <c r="O120">
        <f>IF(K120="Satisfied",1,IF(K120="Neutral",0.5,IF(K120="Unsatisfied",0,IF(Table1[[#This Row],[Satisfaction Level]]="No Response","0"))))</f>
        <v>0</v>
      </c>
    </row>
    <row r="121" spans="1:15" x14ac:dyDescent="0.45">
      <c r="A121">
        <v>220</v>
      </c>
      <c r="B121" t="s">
        <v>11</v>
      </c>
      <c r="C121">
        <v>36</v>
      </c>
      <c r="D121" t="s">
        <v>24</v>
      </c>
      <c r="E121" t="s">
        <v>20</v>
      </c>
      <c r="F121">
        <v>460.5</v>
      </c>
      <c r="G121">
        <v>8</v>
      </c>
      <c r="H121">
        <v>3.1</v>
      </c>
      <c r="I121" t="b">
        <v>0</v>
      </c>
      <c r="J121">
        <v>19</v>
      </c>
      <c r="K121" t="s">
        <v>18</v>
      </c>
      <c r="L121" t="str" cm="1">
        <f t="array" ref="L121">_xlfn.IFS(Table1[[#This Row],[Discount Applied]]=TRUE,"Yes",Table1[[#This Row],[Discount Applied]]=FALSE,"No")</f>
        <v>No</v>
      </c>
      <c r="M121" t="str" cm="1">
        <f t="array" ref="M121">_xlfn.IFS(Table1[[#This Row],[Age]]&lt;18,"Under 18",Table1[[#This Row],[Age]]&lt;=23,"18-23",Table1[[#This Row],[Age]]&lt;=29,"24-29",Table1[[#This Row],[Age]]&lt;=35,"30-35",Table1[[#This Row],[Age]]&lt;=41,"36-41",Table1[[#This Row],[Age]]&gt;41,"Over 41")</f>
        <v>36-41</v>
      </c>
      <c r="N121" t="str" cm="1">
        <f t="array" ref="N121">_xlfn.IFS(Table1[[#This Row],[Days Since Last Purchase]]&lt;21,"Active",Table1[[#This Row],[Days Since Last Purchase]]&lt;=42,"Moderately Active",Table1[[#This Row],[Days Since Last Purchase]]&gt;=43, "Inactive")</f>
        <v>Active</v>
      </c>
      <c r="O121">
        <f>IF(K121="Satisfied",1,IF(K121="Neutral",0.5,IF(K121="Unsatisfied",0,IF(Table1[[#This Row],[Satisfaction Level]]="No Response","0"))))</f>
        <v>0.5</v>
      </c>
    </row>
    <row r="122" spans="1:15" x14ac:dyDescent="0.45">
      <c r="A122">
        <v>221</v>
      </c>
      <c r="B122" t="s">
        <v>11</v>
      </c>
      <c r="C122">
        <v>30</v>
      </c>
      <c r="D122" t="s">
        <v>12</v>
      </c>
      <c r="E122" t="s">
        <v>13</v>
      </c>
      <c r="F122">
        <v>1190.8</v>
      </c>
      <c r="G122">
        <v>16</v>
      </c>
      <c r="H122">
        <v>4.5</v>
      </c>
      <c r="I122" t="b">
        <v>1</v>
      </c>
      <c r="J122">
        <v>20</v>
      </c>
      <c r="K122" t="s">
        <v>14</v>
      </c>
      <c r="L122" t="str" cm="1">
        <f t="array" ref="L122">_xlfn.IFS(Table1[[#This Row],[Discount Applied]]=TRUE,"Yes",Table1[[#This Row],[Discount Applied]]=FALSE,"No")</f>
        <v>Yes</v>
      </c>
      <c r="M122" t="str" cm="1">
        <f t="array" ref="M122">_xlfn.IFS(Table1[[#This Row],[Age]]&lt;18,"Under 18",Table1[[#This Row],[Age]]&lt;=23,"18-23",Table1[[#This Row],[Age]]&lt;=29,"24-29",Table1[[#This Row],[Age]]&lt;=35,"30-35",Table1[[#This Row],[Age]]&lt;=41,"36-41",Table1[[#This Row],[Age]]&gt;41,"Over 41")</f>
        <v>30-35</v>
      </c>
      <c r="N122" t="str" cm="1">
        <f t="array" ref="N122">_xlfn.IFS(Table1[[#This Row],[Days Since Last Purchase]]&lt;21,"Active",Table1[[#This Row],[Days Since Last Purchase]]&lt;=42,"Moderately Active",Table1[[#This Row],[Days Since Last Purchase]]&gt;=43, "Inactive")</f>
        <v>Active</v>
      </c>
      <c r="O122">
        <f>IF(K122="Satisfied",1,IF(K122="Neutral",0.5,IF(K122="Unsatisfied",0,IF(Table1[[#This Row],[Satisfaction Level]]="No Response","0"))))</f>
        <v>1</v>
      </c>
    </row>
    <row r="123" spans="1:15" x14ac:dyDescent="0.45">
      <c r="A123">
        <v>222</v>
      </c>
      <c r="B123" t="s">
        <v>15</v>
      </c>
      <c r="C123">
        <v>33</v>
      </c>
      <c r="D123" t="s">
        <v>16</v>
      </c>
      <c r="E123" t="s">
        <v>17</v>
      </c>
      <c r="F123">
        <v>830.75</v>
      </c>
      <c r="G123">
        <v>13</v>
      </c>
      <c r="H123">
        <v>4.2</v>
      </c>
      <c r="I123" t="b">
        <v>0</v>
      </c>
      <c r="J123">
        <v>14</v>
      </c>
      <c r="K123" t="s">
        <v>14</v>
      </c>
      <c r="L123" t="str" cm="1">
        <f t="array" ref="L123">_xlfn.IFS(Table1[[#This Row],[Discount Applied]]=TRUE,"Yes",Table1[[#This Row],[Discount Applied]]=FALSE,"No")</f>
        <v>No</v>
      </c>
      <c r="M123" t="str" cm="1">
        <f t="array" ref="M123">_xlfn.IFS(Table1[[#This Row],[Age]]&lt;18,"Under 18",Table1[[#This Row],[Age]]&lt;=23,"18-23",Table1[[#This Row],[Age]]&lt;=29,"24-29",Table1[[#This Row],[Age]]&lt;=35,"30-35",Table1[[#This Row],[Age]]&lt;=41,"36-41",Table1[[#This Row],[Age]]&gt;41,"Over 41")</f>
        <v>30-35</v>
      </c>
      <c r="N123" t="str" cm="1">
        <f t="array" ref="N123">_xlfn.IFS(Table1[[#This Row],[Days Since Last Purchase]]&lt;21,"Active",Table1[[#This Row],[Days Since Last Purchase]]&lt;=42,"Moderately Active",Table1[[#This Row],[Days Since Last Purchase]]&gt;=43, "Inactive")</f>
        <v>Active</v>
      </c>
      <c r="O123">
        <f>IF(K123="Satisfied",1,IF(K123="Neutral",0.5,IF(K123="Unsatisfied",0,IF(Table1[[#This Row],[Satisfaction Level]]="No Response","0"))))</f>
        <v>1</v>
      </c>
    </row>
    <row r="124" spans="1:15" x14ac:dyDescent="0.45">
      <c r="A124">
        <v>223</v>
      </c>
      <c r="B124" t="s">
        <v>11</v>
      </c>
      <c r="C124">
        <v>42</v>
      </c>
      <c r="D124" t="s">
        <v>19</v>
      </c>
      <c r="E124" t="s">
        <v>20</v>
      </c>
      <c r="F124">
        <v>520.4</v>
      </c>
      <c r="G124">
        <v>9</v>
      </c>
      <c r="H124">
        <v>3.5</v>
      </c>
      <c r="I124" t="b">
        <v>1</v>
      </c>
      <c r="J124">
        <v>37</v>
      </c>
      <c r="K124" t="s">
        <v>21</v>
      </c>
      <c r="L124" t="str" cm="1">
        <f t="array" ref="L124">_xlfn.IFS(Table1[[#This Row],[Discount Applied]]=TRUE,"Yes",Table1[[#This Row],[Discount Applied]]=FALSE,"No")</f>
        <v>Yes</v>
      </c>
      <c r="M124" t="str" cm="1">
        <f t="array" ref="M124">_xlfn.IFS(Table1[[#This Row],[Age]]&lt;18,"Under 18",Table1[[#This Row],[Age]]&lt;=23,"18-23",Table1[[#This Row],[Age]]&lt;=29,"24-29",Table1[[#This Row],[Age]]&lt;=35,"30-35",Table1[[#This Row],[Age]]&lt;=41,"36-41",Table1[[#This Row],[Age]]&gt;41,"Over 41")</f>
        <v>Over 41</v>
      </c>
      <c r="N124" t="str" cm="1">
        <f t="array" ref="N124">_xlfn.IFS(Table1[[#This Row],[Days Since Last Purchase]]&lt;21,"Active",Table1[[#This Row],[Days Since Last Purchase]]&lt;=42,"Moderately Active",Table1[[#This Row],[Days Since Last Purchase]]&gt;=43, "Inactive")</f>
        <v>Moderately Active</v>
      </c>
      <c r="O124">
        <f>IF(K124="Satisfied",1,IF(K124="Neutral",0.5,IF(K124="Unsatisfied",0,IF(Table1[[#This Row],[Satisfaction Level]]="No Response","0"))))</f>
        <v>0</v>
      </c>
    </row>
    <row r="125" spans="1:15" x14ac:dyDescent="0.45">
      <c r="A125">
        <v>224</v>
      </c>
      <c r="B125" t="s">
        <v>15</v>
      </c>
      <c r="C125">
        <v>29</v>
      </c>
      <c r="D125" t="s">
        <v>22</v>
      </c>
      <c r="E125" t="s">
        <v>13</v>
      </c>
      <c r="F125">
        <v>1370.2</v>
      </c>
      <c r="G125">
        <v>18</v>
      </c>
      <c r="H125">
        <v>4.7</v>
      </c>
      <c r="I125" t="b">
        <v>0</v>
      </c>
      <c r="J125">
        <v>10</v>
      </c>
      <c r="K125" t="s">
        <v>14</v>
      </c>
      <c r="L125" t="str" cm="1">
        <f t="array" ref="L125">_xlfn.IFS(Table1[[#This Row],[Discount Applied]]=TRUE,"Yes",Table1[[#This Row],[Discount Applied]]=FALSE,"No")</f>
        <v>No</v>
      </c>
      <c r="M125" t="str" cm="1">
        <f t="array" ref="M125">_xlfn.IFS(Table1[[#This Row],[Age]]&lt;18,"Under 18",Table1[[#This Row],[Age]]&lt;=23,"18-23",Table1[[#This Row],[Age]]&lt;=29,"24-29",Table1[[#This Row],[Age]]&lt;=35,"30-35",Table1[[#This Row],[Age]]&lt;=41,"36-41",Table1[[#This Row],[Age]]&gt;41,"Over 41")</f>
        <v>24-29</v>
      </c>
      <c r="N125" t="str" cm="1">
        <f t="array" ref="N125">_xlfn.IFS(Table1[[#This Row],[Days Since Last Purchase]]&lt;21,"Active",Table1[[#This Row],[Days Since Last Purchase]]&lt;=42,"Moderately Active",Table1[[#This Row],[Days Since Last Purchase]]&gt;=43, "Inactive")</f>
        <v>Active</v>
      </c>
      <c r="O125">
        <f>IF(K125="Satisfied",1,IF(K125="Neutral",0.5,IF(K125="Unsatisfied",0,IF(Table1[[#This Row],[Satisfaction Level]]="No Response","0"))))</f>
        <v>1</v>
      </c>
    </row>
    <row r="126" spans="1:15" x14ac:dyDescent="0.45">
      <c r="A126">
        <v>225</v>
      </c>
      <c r="B126" t="s">
        <v>15</v>
      </c>
      <c r="C126">
        <v>26</v>
      </c>
      <c r="D126" t="s">
        <v>23</v>
      </c>
      <c r="E126" t="s">
        <v>17</v>
      </c>
      <c r="F126">
        <v>690.6</v>
      </c>
      <c r="G126">
        <v>12</v>
      </c>
      <c r="H126">
        <v>3.9</v>
      </c>
      <c r="I126" t="b">
        <v>1</v>
      </c>
      <c r="J126">
        <v>47</v>
      </c>
      <c r="K126" t="s">
        <v>21</v>
      </c>
      <c r="L126" t="str" cm="1">
        <f t="array" ref="L126">_xlfn.IFS(Table1[[#This Row],[Discount Applied]]=TRUE,"Yes",Table1[[#This Row],[Discount Applied]]=FALSE,"No")</f>
        <v>Yes</v>
      </c>
      <c r="M126" t="str" cm="1">
        <f t="array" ref="M126">_xlfn.IFS(Table1[[#This Row],[Age]]&lt;18,"Under 18",Table1[[#This Row],[Age]]&lt;=23,"18-23",Table1[[#This Row],[Age]]&lt;=29,"24-29",Table1[[#This Row],[Age]]&lt;=35,"30-35",Table1[[#This Row],[Age]]&lt;=41,"36-41",Table1[[#This Row],[Age]]&gt;41,"Over 41")</f>
        <v>24-29</v>
      </c>
      <c r="N126" t="str" cm="1">
        <f t="array" ref="N126">_xlfn.IFS(Table1[[#This Row],[Days Since Last Purchase]]&lt;21,"Active",Table1[[#This Row],[Days Since Last Purchase]]&lt;=42,"Moderately Active",Table1[[#This Row],[Days Since Last Purchase]]&gt;=43, "Inactive")</f>
        <v>Inactive</v>
      </c>
      <c r="O126">
        <f>IF(K126="Satisfied",1,IF(K126="Neutral",0.5,IF(K126="Unsatisfied",0,IF(Table1[[#This Row],[Satisfaction Level]]="No Response","0"))))</f>
        <v>0</v>
      </c>
    </row>
    <row r="127" spans="1:15" x14ac:dyDescent="0.45">
      <c r="A127">
        <v>226</v>
      </c>
      <c r="B127" t="s">
        <v>11</v>
      </c>
      <c r="C127">
        <v>38</v>
      </c>
      <c r="D127" t="s">
        <v>24</v>
      </c>
      <c r="E127" t="s">
        <v>20</v>
      </c>
      <c r="F127">
        <v>440.9</v>
      </c>
      <c r="G127">
        <v>8</v>
      </c>
      <c r="H127">
        <v>3.2</v>
      </c>
      <c r="I127" t="b">
        <v>0</v>
      </c>
      <c r="J127">
        <v>24</v>
      </c>
      <c r="K127" t="s">
        <v>18</v>
      </c>
      <c r="L127" t="str" cm="1">
        <f t="array" ref="L127">_xlfn.IFS(Table1[[#This Row],[Discount Applied]]=TRUE,"Yes",Table1[[#This Row],[Discount Applied]]=FALSE,"No")</f>
        <v>No</v>
      </c>
      <c r="M127" t="str" cm="1">
        <f t="array" ref="M127">_xlfn.IFS(Table1[[#This Row],[Age]]&lt;18,"Under 18",Table1[[#This Row],[Age]]&lt;=23,"18-23",Table1[[#This Row],[Age]]&lt;=29,"24-29",Table1[[#This Row],[Age]]&lt;=35,"30-35",Table1[[#This Row],[Age]]&lt;=41,"36-41",Table1[[#This Row],[Age]]&gt;41,"Over 41")</f>
        <v>36-41</v>
      </c>
      <c r="N127" t="str" cm="1">
        <f t="array" ref="N127">_xlfn.IFS(Table1[[#This Row],[Days Since Last Purchase]]&lt;21,"Active",Table1[[#This Row],[Days Since Last Purchase]]&lt;=42,"Moderately Active",Table1[[#This Row],[Days Since Last Purchase]]&gt;=43, "Inactive")</f>
        <v>Moderately Active</v>
      </c>
      <c r="O127">
        <f>IF(K127="Satisfied",1,IF(K127="Neutral",0.5,IF(K127="Unsatisfied",0,IF(Table1[[#This Row],[Satisfaction Level]]="No Response","0"))))</f>
        <v>0.5</v>
      </c>
    </row>
    <row r="128" spans="1:15" x14ac:dyDescent="0.45">
      <c r="A128">
        <v>227</v>
      </c>
      <c r="B128" t="s">
        <v>11</v>
      </c>
      <c r="C128">
        <v>32</v>
      </c>
      <c r="D128" t="s">
        <v>12</v>
      </c>
      <c r="E128" t="s">
        <v>13</v>
      </c>
      <c r="F128">
        <v>1160.3</v>
      </c>
      <c r="G128">
        <v>14</v>
      </c>
      <c r="H128">
        <v>4.4000000000000004</v>
      </c>
      <c r="I128" t="b">
        <v>1</v>
      </c>
      <c r="J128">
        <v>22</v>
      </c>
      <c r="K128" t="s">
        <v>14</v>
      </c>
      <c r="L128" t="str" cm="1">
        <f t="array" ref="L128">_xlfn.IFS(Table1[[#This Row],[Discount Applied]]=TRUE,"Yes",Table1[[#This Row],[Discount Applied]]=FALSE,"No")</f>
        <v>Yes</v>
      </c>
      <c r="M128" t="str" cm="1">
        <f t="array" ref="M128">_xlfn.IFS(Table1[[#This Row],[Age]]&lt;18,"Under 18",Table1[[#This Row],[Age]]&lt;=23,"18-23",Table1[[#This Row],[Age]]&lt;=29,"24-29",Table1[[#This Row],[Age]]&lt;=35,"30-35",Table1[[#This Row],[Age]]&lt;=41,"36-41",Table1[[#This Row],[Age]]&gt;41,"Over 41")</f>
        <v>30-35</v>
      </c>
      <c r="N128" t="str" cm="1">
        <f t="array" ref="N128">_xlfn.IFS(Table1[[#This Row],[Days Since Last Purchase]]&lt;21,"Active",Table1[[#This Row],[Days Since Last Purchase]]&lt;=42,"Moderately Active",Table1[[#This Row],[Days Since Last Purchase]]&gt;=43, "Inactive")</f>
        <v>Moderately Active</v>
      </c>
      <c r="O128">
        <f>IF(K128="Satisfied",1,IF(K128="Neutral",0.5,IF(K128="Unsatisfied",0,IF(Table1[[#This Row],[Satisfaction Level]]="No Response","0"))))</f>
        <v>1</v>
      </c>
    </row>
    <row r="129" spans="1:15" x14ac:dyDescent="0.45">
      <c r="A129">
        <v>228</v>
      </c>
      <c r="B129" t="s">
        <v>15</v>
      </c>
      <c r="C129">
        <v>34</v>
      </c>
      <c r="D129" t="s">
        <v>16</v>
      </c>
      <c r="E129" t="s">
        <v>17</v>
      </c>
      <c r="F129">
        <v>800.2</v>
      </c>
      <c r="G129">
        <v>11</v>
      </c>
      <c r="H129">
        <v>4.0999999999999996</v>
      </c>
      <c r="I129" t="b">
        <v>0</v>
      </c>
      <c r="J129">
        <v>17</v>
      </c>
      <c r="K129" t="s">
        <v>18</v>
      </c>
      <c r="L129" t="str" cm="1">
        <f t="array" ref="L129">_xlfn.IFS(Table1[[#This Row],[Discount Applied]]=TRUE,"Yes",Table1[[#This Row],[Discount Applied]]=FALSE,"No")</f>
        <v>No</v>
      </c>
      <c r="M129" t="str" cm="1">
        <f t="array" ref="M129">_xlfn.IFS(Table1[[#This Row],[Age]]&lt;18,"Under 18",Table1[[#This Row],[Age]]&lt;=23,"18-23",Table1[[#This Row],[Age]]&lt;=29,"24-29",Table1[[#This Row],[Age]]&lt;=35,"30-35",Table1[[#This Row],[Age]]&lt;=41,"36-41",Table1[[#This Row],[Age]]&gt;41,"Over 41")</f>
        <v>30-35</v>
      </c>
      <c r="N129" t="str" cm="1">
        <f t="array" ref="N129">_xlfn.IFS(Table1[[#This Row],[Days Since Last Purchase]]&lt;21,"Active",Table1[[#This Row],[Days Since Last Purchase]]&lt;=42,"Moderately Active",Table1[[#This Row],[Days Since Last Purchase]]&gt;=43, "Inactive")</f>
        <v>Active</v>
      </c>
      <c r="O129">
        <f>IF(K129="Satisfied",1,IF(K129="Neutral",0.5,IF(K129="Unsatisfied",0,IF(Table1[[#This Row],[Satisfaction Level]]="No Response","0"))))</f>
        <v>0.5</v>
      </c>
    </row>
    <row r="130" spans="1:15" x14ac:dyDescent="0.45">
      <c r="A130">
        <v>229</v>
      </c>
      <c r="B130" t="s">
        <v>11</v>
      </c>
      <c r="C130">
        <v>43</v>
      </c>
      <c r="D130" t="s">
        <v>19</v>
      </c>
      <c r="E130" t="s">
        <v>20</v>
      </c>
      <c r="F130">
        <v>500.75</v>
      </c>
      <c r="G130">
        <v>10</v>
      </c>
      <c r="H130">
        <v>3.3</v>
      </c>
      <c r="I130" t="b">
        <v>1</v>
      </c>
      <c r="J130">
        <v>40</v>
      </c>
      <c r="K130" t="s">
        <v>21</v>
      </c>
      <c r="L130" t="str" cm="1">
        <f t="array" ref="L130">_xlfn.IFS(Table1[[#This Row],[Discount Applied]]=TRUE,"Yes",Table1[[#This Row],[Discount Applied]]=FALSE,"No")</f>
        <v>Yes</v>
      </c>
      <c r="M130" t="str" cm="1">
        <f t="array" ref="M130">_xlfn.IFS(Table1[[#This Row],[Age]]&lt;18,"Under 18",Table1[[#This Row],[Age]]&lt;=23,"18-23",Table1[[#This Row],[Age]]&lt;=29,"24-29",Table1[[#This Row],[Age]]&lt;=35,"30-35",Table1[[#This Row],[Age]]&lt;=41,"36-41",Table1[[#This Row],[Age]]&gt;41,"Over 41")</f>
        <v>Over 41</v>
      </c>
      <c r="N130" t="str" cm="1">
        <f t="array" ref="N130">_xlfn.IFS(Table1[[#This Row],[Days Since Last Purchase]]&lt;21,"Active",Table1[[#This Row],[Days Since Last Purchase]]&lt;=42,"Moderately Active",Table1[[#This Row],[Days Since Last Purchase]]&gt;=43, "Inactive")</f>
        <v>Moderately Active</v>
      </c>
      <c r="O130">
        <f>IF(K130="Satisfied",1,IF(K130="Neutral",0.5,IF(K130="Unsatisfied",0,IF(Table1[[#This Row],[Satisfaction Level]]="No Response","0"))))</f>
        <v>0</v>
      </c>
    </row>
    <row r="131" spans="1:15" x14ac:dyDescent="0.45">
      <c r="A131">
        <v>230</v>
      </c>
      <c r="B131" t="s">
        <v>15</v>
      </c>
      <c r="C131">
        <v>30</v>
      </c>
      <c r="D131" t="s">
        <v>22</v>
      </c>
      <c r="E131" t="s">
        <v>13</v>
      </c>
      <c r="F131">
        <v>1460.5</v>
      </c>
      <c r="G131">
        <v>20</v>
      </c>
      <c r="H131">
        <v>4.8</v>
      </c>
      <c r="I131" t="b">
        <v>0</v>
      </c>
      <c r="J131">
        <v>12</v>
      </c>
      <c r="K131" t="s">
        <v>14</v>
      </c>
      <c r="L131" t="str" cm="1">
        <f t="array" ref="L131">_xlfn.IFS(Table1[[#This Row],[Discount Applied]]=TRUE,"Yes",Table1[[#This Row],[Discount Applied]]=FALSE,"No")</f>
        <v>No</v>
      </c>
      <c r="M131" t="str" cm="1">
        <f t="array" ref="M131">_xlfn.IFS(Table1[[#This Row],[Age]]&lt;18,"Under 18",Table1[[#This Row],[Age]]&lt;=23,"18-23",Table1[[#This Row],[Age]]&lt;=29,"24-29",Table1[[#This Row],[Age]]&lt;=35,"30-35",Table1[[#This Row],[Age]]&lt;=41,"36-41",Table1[[#This Row],[Age]]&gt;41,"Over 41")</f>
        <v>30-35</v>
      </c>
      <c r="N131" t="str" cm="1">
        <f t="array" ref="N131">_xlfn.IFS(Table1[[#This Row],[Days Since Last Purchase]]&lt;21,"Active",Table1[[#This Row],[Days Since Last Purchase]]&lt;=42,"Moderately Active",Table1[[#This Row],[Days Since Last Purchase]]&gt;=43, "Inactive")</f>
        <v>Active</v>
      </c>
      <c r="O131">
        <f>IF(K131="Satisfied",1,IF(K131="Neutral",0.5,IF(K131="Unsatisfied",0,IF(Table1[[#This Row],[Satisfaction Level]]="No Response","0"))))</f>
        <v>1</v>
      </c>
    </row>
    <row r="132" spans="1:15" x14ac:dyDescent="0.45">
      <c r="A132">
        <v>231</v>
      </c>
      <c r="B132" t="s">
        <v>15</v>
      </c>
      <c r="C132">
        <v>27</v>
      </c>
      <c r="D132" t="s">
        <v>23</v>
      </c>
      <c r="E132" t="s">
        <v>17</v>
      </c>
      <c r="F132">
        <v>700.4</v>
      </c>
      <c r="G132">
        <v>13</v>
      </c>
      <c r="H132">
        <v>4</v>
      </c>
      <c r="I132" t="b">
        <v>1</v>
      </c>
      <c r="J132">
        <v>53</v>
      </c>
      <c r="K132" t="s">
        <v>21</v>
      </c>
      <c r="L132" t="str" cm="1">
        <f t="array" ref="L132">_xlfn.IFS(Table1[[#This Row],[Discount Applied]]=TRUE,"Yes",Table1[[#This Row],[Discount Applied]]=FALSE,"No")</f>
        <v>Yes</v>
      </c>
      <c r="M132" t="str" cm="1">
        <f t="array" ref="M132">_xlfn.IFS(Table1[[#This Row],[Age]]&lt;18,"Under 18",Table1[[#This Row],[Age]]&lt;=23,"18-23",Table1[[#This Row],[Age]]&lt;=29,"24-29",Table1[[#This Row],[Age]]&lt;=35,"30-35",Table1[[#This Row],[Age]]&lt;=41,"36-41",Table1[[#This Row],[Age]]&gt;41,"Over 41")</f>
        <v>24-29</v>
      </c>
      <c r="N132" t="str" cm="1">
        <f t="array" ref="N132">_xlfn.IFS(Table1[[#This Row],[Days Since Last Purchase]]&lt;21,"Active",Table1[[#This Row],[Days Since Last Purchase]]&lt;=42,"Moderately Active",Table1[[#This Row],[Days Since Last Purchase]]&gt;=43, "Inactive")</f>
        <v>Inactive</v>
      </c>
      <c r="O132">
        <f>IF(K132="Satisfied",1,IF(K132="Neutral",0.5,IF(K132="Unsatisfied",0,IF(Table1[[#This Row],[Satisfaction Level]]="No Response","0"))))</f>
        <v>0</v>
      </c>
    </row>
    <row r="133" spans="1:15" x14ac:dyDescent="0.45">
      <c r="A133">
        <v>232</v>
      </c>
      <c r="B133" t="s">
        <v>11</v>
      </c>
      <c r="C133">
        <v>37</v>
      </c>
      <c r="D133" t="s">
        <v>24</v>
      </c>
      <c r="E133" t="s">
        <v>20</v>
      </c>
      <c r="F133">
        <v>420.8</v>
      </c>
      <c r="G133">
        <v>7</v>
      </c>
      <c r="H133">
        <v>3.1</v>
      </c>
      <c r="I133" t="b">
        <v>0</v>
      </c>
      <c r="J133">
        <v>21</v>
      </c>
      <c r="K133" t="s">
        <v>18</v>
      </c>
      <c r="L133" t="str" cm="1">
        <f t="array" ref="L133">_xlfn.IFS(Table1[[#This Row],[Discount Applied]]=TRUE,"Yes",Table1[[#This Row],[Discount Applied]]=FALSE,"No")</f>
        <v>No</v>
      </c>
      <c r="M133" t="str" cm="1">
        <f t="array" ref="M133">_xlfn.IFS(Table1[[#This Row],[Age]]&lt;18,"Under 18",Table1[[#This Row],[Age]]&lt;=23,"18-23",Table1[[#This Row],[Age]]&lt;=29,"24-29",Table1[[#This Row],[Age]]&lt;=35,"30-35",Table1[[#This Row],[Age]]&lt;=41,"36-41",Table1[[#This Row],[Age]]&gt;41,"Over 41")</f>
        <v>36-41</v>
      </c>
      <c r="N133" t="str" cm="1">
        <f t="array" ref="N133">_xlfn.IFS(Table1[[#This Row],[Days Since Last Purchase]]&lt;21,"Active",Table1[[#This Row],[Days Since Last Purchase]]&lt;=42,"Moderately Active",Table1[[#This Row],[Days Since Last Purchase]]&gt;=43, "Inactive")</f>
        <v>Moderately Active</v>
      </c>
      <c r="O133">
        <f>IF(K133="Satisfied",1,IF(K133="Neutral",0.5,IF(K133="Unsatisfied",0,IF(Table1[[#This Row],[Satisfaction Level]]="No Response","0"))))</f>
        <v>0.5</v>
      </c>
    </row>
    <row r="134" spans="1:15" x14ac:dyDescent="0.45">
      <c r="A134">
        <v>233</v>
      </c>
      <c r="B134" t="s">
        <v>11</v>
      </c>
      <c r="C134">
        <v>31</v>
      </c>
      <c r="D134" t="s">
        <v>12</v>
      </c>
      <c r="E134" t="s">
        <v>13</v>
      </c>
      <c r="F134">
        <v>1130.5999999999999</v>
      </c>
      <c r="G134">
        <v>15</v>
      </c>
      <c r="H134">
        <v>4.5</v>
      </c>
      <c r="I134" t="b">
        <v>1</v>
      </c>
      <c r="J134">
        <v>26</v>
      </c>
      <c r="K134" t="s">
        <v>14</v>
      </c>
      <c r="L134" t="str" cm="1">
        <f t="array" ref="L134">_xlfn.IFS(Table1[[#This Row],[Discount Applied]]=TRUE,"Yes",Table1[[#This Row],[Discount Applied]]=FALSE,"No")</f>
        <v>Yes</v>
      </c>
      <c r="M134" t="str" cm="1">
        <f t="array" ref="M134">_xlfn.IFS(Table1[[#This Row],[Age]]&lt;18,"Under 18",Table1[[#This Row],[Age]]&lt;=23,"18-23",Table1[[#This Row],[Age]]&lt;=29,"24-29",Table1[[#This Row],[Age]]&lt;=35,"30-35",Table1[[#This Row],[Age]]&lt;=41,"36-41",Table1[[#This Row],[Age]]&gt;41,"Over 41")</f>
        <v>30-35</v>
      </c>
      <c r="N134" t="str" cm="1">
        <f t="array" ref="N134">_xlfn.IFS(Table1[[#This Row],[Days Since Last Purchase]]&lt;21,"Active",Table1[[#This Row],[Days Since Last Purchase]]&lt;=42,"Moderately Active",Table1[[#This Row],[Days Since Last Purchase]]&gt;=43, "Inactive")</f>
        <v>Moderately Active</v>
      </c>
      <c r="O134">
        <f>IF(K134="Satisfied",1,IF(K134="Neutral",0.5,IF(K134="Unsatisfied",0,IF(Table1[[#This Row],[Satisfaction Level]]="No Response","0"))))</f>
        <v>1</v>
      </c>
    </row>
    <row r="135" spans="1:15" x14ac:dyDescent="0.45">
      <c r="A135">
        <v>234</v>
      </c>
      <c r="B135" t="s">
        <v>15</v>
      </c>
      <c r="C135">
        <v>35</v>
      </c>
      <c r="D135" t="s">
        <v>16</v>
      </c>
      <c r="E135" t="s">
        <v>17</v>
      </c>
      <c r="F135">
        <v>820.9</v>
      </c>
      <c r="G135">
        <v>12</v>
      </c>
      <c r="H135">
        <v>4.3</v>
      </c>
      <c r="I135" t="b">
        <v>0</v>
      </c>
      <c r="J135">
        <v>12</v>
      </c>
      <c r="K135" t="s">
        <v>18</v>
      </c>
      <c r="L135" t="str" cm="1">
        <f t="array" ref="L135">_xlfn.IFS(Table1[[#This Row],[Discount Applied]]=TRUE,"Yes",Table1[[#This Row],[Discount Applied]]=FALSE,"No")</f>
        <v>No</v>
      </c>
      <c r="M135" t="str" cm="1">
        <f t="array" ref="M135">_xlfn.IFS(Table1[[#This Row],[Age]]&lt;18,"Under 18",Table1[[#This Row],[Age]]&lt;=23,"18-23",Table1[[#This Row],[Age]]&lt;=29,"24-29",Table1[[#This Row],[Age]]&lt;=35,"30-35",Table1[[#This Row],[Age]]&lt;=41,"36-41",Table1[[#This Row],[Age]]&gt;41,"Over 41")</f>
        <v>30-35</v>
      </c>
      <c r="N135" t="str" cm="1">
        <f t="array" ref="N135">_xlfn.IFS(Table1[[#This Row],[Days Since Last Purchase]]&lt;21,"Active",Table1[[#This Row],[Days Since Last Purchase]]&lt;=42,"Moderately Active",Table1[[#This Row],[Days Since Last Purchase]]&gt;=43, "Inactive")</f>
        <v>Active</v>
      </c>
      <c r="O135">
        <f>IF(K135="Satisfied",1,IF(K135="Neutral",0.5,IF(K135="Unsatisfied",0,IF(Table1[[#This Row],[Satisfaction Level]]="No Response","0"))))</f>
        <v>0.5</v>
      </c>
    </row>
    <row r="136" spans="1:15" x14ac:dyDescent="0.45">
      <c r="A136">
        <v>235</v>
      </c>
      <c r="B136" t="s">
        <v>11</v>
      </c>
      <c r="C136">
        <v>41</v>
      </c>
      <c r="D136" t="s">
        <v>19</v>
      </c>
      <c r="E136" t="s">
        <v>20</v>
      </c>
      <c r="F136">
        <v>480.25</v>
      </c>
      <c r="G136">
        <v>9</v>
      </c>
      <c r="H136">
        <v>3.6</v>
      </c>
      <c r="I136" t="b">
        <v>1</v>
      </c>
      <c r="J136">
        <v>38</v>
      </c>
      <c r="K136" t="s">
        <v>21</v>
      </c>
      <c r="L136" t="str" cm="1">
        <f t="array" ref="L136">_xlfn.IFS(Table1[[#This Row],[Discount Applied]]=TRUE,"Yes",Table1[[#This Row],[Discount Applied]]=FALSE,"No")</f>
        <v>Yes</v>
      </c>
      <c r="M136" t="str" cm="1">
        <f t="array" ref="M136">_xlfn.IFS(Table1[[#This Row],[Age]]&lt;18,"Under 18",Table1[[#This Row],[Age]]&lt;=23,"18-23",Table1[[#This Row],[Age]]&lt;=29,"24-29",Table1[[#This Row],[Age]]&lt;=35,"30-35",Table1[[#This Row],[Age]]&lt;=41,"36-41",Table1[[#This Row],[Age]]&gt;41,"Over 41")</f>
        <v>36-41</v>
      </c>
      <c r="N136" t="str" cm="1">
        <f t="array" ref="N136">_xlfn.IFS(Table1[[#This Row],[Days Since Last Purchase]]&lt;21,"Active",Table1[[#This Row],[Days Since Last Purchase]]&lt;=42,"Moderately Active",Table1[[#This Row],[Days Since Last Purchase]]&gt;=43, "Inactive")</f>
        <v>Moderately Active</v>
      </c>
      <c r="O136">
        <f>IF(K136="Satisfied",1,IF(K136="Neutral",0.5,IF(K136="Unsatisfied",0,IF(Table1[[#This Row],[Satisfaction Level]]="No Response","0"))))</f>
        <v>0</v>
      </c>
    </row>
    <row r="137" spans="1:15" x14ac:dyDescent="0.45">
      <c r="A137">
        <v>236</v>
      </c>
      <c r="B137" t="s">
        <v>15</v>
      </c>
      <c r="C137">
        <v>28</v>
      </c>
      <c r="D137" t="s">
        <v>22</v>
      </c>
      <c r="E137" t="s">
        <v>13</v>
      </c>
      <c r="F137">
        <v>1490.1</v>
      </c>
      <c r="G137">
        <v>21</v>
      </c>
      <c r="H137">
        <v>4.9000000000000004</v>
      </c>
      <c r="I137" t="b">
        <v>0</v>
      </c>
      <c r="J137">
        <v>9</v>
      </c>
      <c r="K137" t="s">
        <v>14</v>
      </c>
      <c r="L137" t="str" cm="1">
        <f t="array" ref="L137">_xlfn.IFS(Table1[[#This Row],[Discount Applied]]=TRUE,"Yes",Table1[[#This Row],[Discount Applied]]=FALSE,"No")</f>
        <v>No</v>
      </c>
      <c r="M137" t="str" cm="1">
        <f t="array" ref="M137">_xlfn.IFS(Table1[[#This Row],[Age]]&lt;18,"Under 18",Table1[[#This Row],[Age]]&lt;=23,"18-23",Table1[[#This Row],[Age]]&lt;=29,"24-29",Table1[[#This Row],[Age]]&lt;=35,"30-35",Table1[[#This Row],[Age]]&lt;=41,"36-41",Table1[[#This Row],[Age]]&gt;41,"Over 41")</f>
        <v>24-29</v>
      </c>
      <c r="N137" t="str" cm="1">
        <f t="array" ref="N137">_xlfn.IFS(Table1[[#This Row],[Days Since Last Purchase]]&lt;21,"Active",Table1[[#This Row],[Days Since Last Purchase]]&lt;=42,"Moderately Active",Table1[[#This Row],[Days Since Last Purchase]]&gt;=43, "Inactive")</f>
        <v>Active</v>
      </c>
      <c r="O137">
        <f>IF(K137="Satisfied",1,IF(K137="Neutral",0.5,IF(K137="Unsatisfied",0,IF(Table1[[#This Row],[Satisfaction Level]]="No Response","0"))))</f>
        <v>1</v>
      </c>
    </row>
    <row r="138" spans="1:15" x14ac:dyDescent="0.45">
      <c r="A138">
        <v>237</v>
      </c>
      <c r="B138" t="s">
        <v>15</v>
      </c>
      <c r="C138">
        <v>32</v>
      </c>
      <c r="D138" t="s">
        <v>23</v>
      </c>
      <c r="E138" t="s">
        <v>17</v>
      </c>
      <c r="F138">
        <v>680.3</v>
      </c>
      <c r="G138">
        <v>10</v>
      </c>
      <c r="H138">
        <v>3.8</v>
      </c>
      <c r="I138" t="b">
        <v>1</v>
      </c>
      <c r="J138">
        <v>32</v>
      </c>
      <c r="K138" t="s">
        <v>21</v>
      </c>
      <c r="L138" t="str" cm="1">
        <f t="array" ref="L138">_xlfn.IFS(Table1[[#This Row],[Discount Applied]]=TRUE,"Yes",Table1[[#This Row],[Discount Applied]]=FALSE,"No")</f>
        <v>Yes</v>
      </c>
      <c r="M138" t="str" cm="1">
        <f t="array" ref="M138">_xlfn.IFS(Table1[[#This Row],[Age]]&lt;18,"Under 18",Table1[[#This Row],[Age]]&lt;=23,"18-23",Table1[[#This Row],[Age]]&lt;=29,"24-29",Table1[[#This Row],[Age]]&lt;=35,"30-35",Table1[[#This Row],[Age]]&lt;=41,"36-41",Table1[[#This Row],[Age]]&gt;41,"Over 41")</f>
        <v>30-35</v>
      </c>
      <c r="N138" t="str" cm="1">
        <f t="array" ref="N138">_xlfn.IFS(Table1[[#This Row],[Days Since Last Purchase]]&lt;21,"Active",Table1[[#This Row],[Days Since Last Purchase]]&lt;=42,"Moderately Active",Table1[[#This Row],[Days Since Last Purchase]]&gt;=43, "Inactive")</f>
        <v>Moderately Active</v>
      </c>
      <c r="O138">
        <f>IF(K138="Satisfied",1,IF(K138="Neutral",0.5,IF(K138="Unsatisfied",0,IF(Table1[[#This Row],[Satisfaction Level]]="No Response","0"))))</f>
        <v>0</v>
      </c>
    </row>
    <row r="139" spans="1:15" x14ac:dyDescent="0.45">
      <c r="A139">
        <v>238</v>
      </c>
      <c r="B139" t="s">
        <v>11</v>
      </c>
      <c r="C139">
        <v>36</v>
      </c>
      <c r="D139" t="s">
        <v>24</v>
      </c>
      <c r="E139" t="s">
        <v>20</v>
      </c>
      <c r="F139">
        <v>470.5</v>
      </c>
      <c r="G139">
        <v>8</v>
      </c>
      <c r="H139">
        <v>3</v>
      </c>
      <c r="I139" t="b">
        <v>0</v>
      </c>
      <c r="J139">
        <v>18</v>
      </c>
      <c r="K139" t="s">
        <v>18</v>
      </c>
      <c r="L139" t="str" cm="1">
        <f t="array" ref="L139">_xlfn.IFS(Table1[[#This Row],[Discount Applied]]=TRUE,"Yes",Table1[[#This Row],[Discount Applied]]=FALSE,"No")</f>
        <v>No</v>
      </c>
      <c r="M139" t="str" cm="1">
        <f t="array" ref="M139">_xlfn.IFS(Table1[[#This Row],[Age]]&lt;18,"Under 18",Table1[[#This Row],[Age]]&lt;=23,"18-23",Table1[[#This Row],[Age]]&lt;=29,"24-29",Table1[[#This Row],[Age]]&lt;=35,"30-35",Table1[[#This Row],[Age]]&lt;=41,"36-41",Table1[[#This Row],[Age]]&gt;41,"Over 41")</f>
        <v>36-41</v>
      </c>
      <c r="N139" t="str" cm="1">
        <f t="array" ref="N139">_xlfn.IFS(Table1[[#This Row],[Days Since Last Purchase]]&lt;21,"Active",Table1[[#This Row],[Days Since Last Purchase]]&lt;=42,"Moderately Active",Table1[[#This Row],[Days Since Last Purchase]]&gt;=43, "Inactive")</f>
        <v>Active</v>
      </c>
      <c r="O139">
        <f>IF(K139="Satisfied",1,IF(K139="Neutral",0.5,IF(K139="Unsatisfied",0,IF(Table1[[#This Row],[Satisfaction Level]]="No Response","0"))))</f>
        <v>0.5</v>
      </c>
    </row>
    <row r="140" spans="1:15" x14ac:dyDescent="0.45">
      <c r="A140">
        <v>239</v>
      </c>
      <c r="B140" t="s">
        <v>11</v>
      </c>
      <c r="C140">
        <v>30</v>
      </c>
      <c r="D140" t="s">
        <v>12</v>
      </c>
      <c r="E140" t="s">
        <v>13</v>
      </c>
      <c r="F140">
        <v>1180.8</v>
      </c>
      <c r="G140">
        <v>16</v>
      </c>
      <c r="H140">
        <v>4.7</v>
      </c>
      <c r="I140" t="b">
        <v>1</v>
      </c>
      <c r="J140">
        <v>19</v>
      </c>
      <c r="K140" t="s">
        <v>14</v>
      </c>
      <c r="L140" t="str" cm="1">
        <f t="array" ref="L140">_xlfn.IFS(Table1[[#This Row],[Discount Applied]]=TRUE,"Yes",Table1[[#This Row],[Discount Applied]]=FALSE,"No")</f>
        <v>Yes</v>
      </c>
      <c r="M140" t="str" cm="1">
        <f t="array" ref="M140">_xlfn.IFS(Table1[[#This Row],[Age]]&lt;18,"Under 18",Table1[[#This Row],[Age]]&lt;=23,"18-23",Table1[[#This Row],[Age]]&lt;=29,"24-29",Table1[[#This Row],[Age]]&lt;=35,"30-35",Table1[[#This Row],[Age]]&lt;=41,"36-41",Table1[[#This Row],[Age]]&gt;41,"Over 41")</f>
        <v>30-35</v>
      </c>
      <c r="N140" t="str" cm="1">
        <f t="array" ref="N140">_xlfn.IFS(Table1[[#This Row],[Days Since Last Purchase]]&lt;21,"Active",Table1[[#This Row],[Days Since Last Purchase]]&lt;=42,"Moderately Active",Table1[[#This Row],[Days Since Last Purchase]]&gt;=43, "Inactive")</f>
        <v>Active</v>
      </c>
      <c r="O140">
        <f>IF(K140="Satisfied",1,IF(K140="Neutral",0.5,IF(K140="Unsatisfied",0,IF(Table1[[#This Row],[Satisfaction Level]]="No Response","0"))))</f>
        <v>1</v>
      </c>
    </row>
    <row r="141" spans="1:15" x14ac:dyDescent="0.45">
      <c r="A141">
        <v>240</v>
      </c>
      <c r="B141" t="s">
        <v>15</v>
      </c>
      <c r="C141">
        <v>34</v>
      </c>
      <c r="D141" t="s">
        <v>16</v>
      </c>
      <c r="E141" t="s">
        <v>17</v>
      </c>
      <c r="F141">
        <v>790.2</v>
      </c>
      <c r="G141">
        <v>11</v>
      </c>
      <c r="H141">
        <v>4</v>
      </c>
      <c r="I141" t="b">
        <v>0</v>
      </c>
      <c r="J141">
        <v>15</v>
      </c>
      <c r="K141" t="s">
        <v>18</v>
      </c>
      <c r="L141" t="str" cm="1">
        <f t="array" ref="L141">_xlfn.IFS(Table1[[#This Row],[Discount Applied]]=TRUE,"Yes",Table1[[#This Row],[Discount Applied]]=FALSE,"No")</f>
        <v>No</v>
      </c>
      <c r="M141" t="str" cm="1">
        <f t="array" ref="M141">_xlfn.IFS(Table1[[#This Row],[Age]]&lt;18,"Under 18",Table1[[#This Row],[Age]]&lt;=23,"18-23",Table1[[#This Row],[Age]]&lt;=29,"24-29",Table1[[#This Row],[Age]]&lt;=35,"30-35",Table1[[#This Row],[Age]]&lt;=41,"36-41",Table1[[#This Row],[Age]]&gt;41,"Over 41")</f>
        <v>30-35</v>
      </c>
      <c r="N141" t="str" cm="1">
        <f t="array" ref="N141">_xlfn.IFS(Table1[[#This Row],[Days Since Last Purchase]]&lt;21,"Active",Table1[[#This Row],[Days Since Last Purchase]]&lt;=42,"Moderately Active",Table1[[#This Row],[Days Since Last Purchase]]&gt;=43, "Inactive")</f>
        <v>Active</v>
      </c>
      <c r="O141">
        <f>IF(K141="Satisfied",1,IF(K141="Neutral",0.5,IF(K141="Unsatisfied",0,IF(Table1[[#This Row],[Satisfaction Level]]="No Response","0"))))</f>
        <v>0.5</v>
      </c>
    </row>
    <row r="142" spans="1:15" x14ac:dyDescent="0.45">
      <c r="A142">
        <v>241</v>
      </c>
      <c r="B142" t="s">
        <v>11</v>
      </c>
      <c r="C142">
        <v>43</v>
      </c>
      <c r="D142" t="s">
        <v>19</v>
      </c>
      <c r="E142" t="s">
        <v>20</v>
      </c>
      <c r="F142">
        <v>505.75</v>
      </c>
      <c r="G142">
        <v>10</v>
      </c>
      <c r="H142">
        <v>3.3</v>
      </c>
      <c r="I142" t="b">
        <v>1</v>
      </c>
      <c r="J142">
        <v>39</v>
      </c>
      <c r="K142" t="s">
        <v>21</v>
      </c>
      <c r="L142" t="str" cm="1">
        <f t="array" ref="L142">_xlfn.IFS(Table1[[#This Row],[Discount Applied]]=TRUE,"Yes",Table1[[#This Row],[Discount Applied]]=FALSE,"No")</f>
        <v>Yes</v>
      </c>
      <c r="M142" t="str" cm="1">
        <f t="array" ref="M142">_xlfn.IFS(Table1[[#This Row],[Age]]&lt;18,"Under 18",Table1[[#This Row],[Age]]&lt;=23,"18-23",Table1[[#This Row],[Age]]&lt;=29,"24-29",Table1[[#This Row],[Age]]&lt;=35,"30-35",Table1[[#This Row],[Age]]&lt;=41,"36-41",Table1[[#This Row],[Age]]&gt;41,"Over 41")</f>
        <v>Over 41</v>
      </c>
      <c r="N142" t="str" cm="1">
        <f t="array" ref="N142">_xlfn.IFS(Table1[[#This Row],[Days Since Last Purchase]]&lt;21,"Active",Table1[[#This Row],[Days Since Last Purchase]]&lt;=42,"Moderately Active",Table1[[#This Row],[Days Since Last Purchase]]&gt;=43, "Inactive")</f>
        <v>Moderately Active</v>
      </c>
      <c r="O142">
        <f>IF(K142="Satisfied",1,IF(K142="Neutral",0.5,IF(K142="Unsatisfied",0,IF(Table1[[#This Row],[Satisfaction Level]]="No Response","0"))))</f>
        <v>0</v>
      </c>
    </row>
    <row r="143" spans="1:15" x14ac:dyDescent="0.45">
      <c r="A143">
        <v>242</v>
      </c>
      <c r="B143" t="s">
        <v>15</v>
      </c>
      <c r="C143">
        <v>30</v>
      </c>
      <c r="D143" t="s">
        <v>22</v>
      </c>
      <c r="E143" t="s">
        <v>13</v>
      </c>
      <c r="F143">
        <v>1470.5</v>
      </c>
      <c r="G143">
        <v>20</v>
      </c>
      <c r="H143">
        <v>4.8</v>
      </c>
      <c r="I143" t="b">
        <v>0</v>
      </c>
      <c r="J143">
        <v>13</v>
      </c>
      <c r="K143" t="s">
        <v>14</v>
      </c>
      <c r="L143" t="str" cm="1">
        <f t="array" ref="L143">_xlfn.IFS(Table1[[#This Row],[Discount Applied]]=TRUE,"Yes",Table1[[#This Row],[Discount Applied]]=FALSE,"No")</f>
        <v>No</v>
      </c>
      <c r="M143" t="str" cm="1">
        <f t="array" ref="M143">_xlfn.IFS(Table1[[#This Row],[Age]]&lt;18,"Under 18",Table1[[#This Row],[Age]]&lt;=23,"18-23",Table1[[#This Row],[Age]]&lt;=29,"24-29",Table1[[#This Row],[Age]]&lt;=35,"30-35",Table1[[#This Row],[Age]]&lt;=41,"36-41",Table1[[#This Row],[Age]]&gt;41,"Over 41")</f>
        <v>30-35</v>
      </c>
      <c r="N143" t="str" cm="1">
        <f t="array" ref="N143">_xlfn.IFS(Table1[[#This Row],[Days Since Last Purchase]]&lt;21,"Active",Table1[[#This Row],[Days Since Last Purchase]]&lt;=42,"Moderately Active",Table1[[#This Row],[Days Since Last Purchase]]&gt;=43, "Inactive")</f>
        <v>Active</v>
      </c>
      <c r="O143">
        <f>IF(K143="Satisfied",1,IF(K143="Neutral",0.5,IF(K143="Unsatisfied",0,IF(Table1[[#This Row],[Satisfaction Level]]="No Response","0"))))</f>
        <v>1</v>
      </c>
    </row>
    <row r="144" spans="1:15" x14ac:dyDescent="0.45">
      <c r="A144">
        <v>243</v>
      </c>
      <c r="B144" t="s">
        <v>15</v>
      </c>
      <c r="C144">
        <v>27</v>
      </c>
      <c r="D144" t="s">
        <v>23</v>
      </c>
      <c r="E144" t="s">
        <v>17</v>
      </c>
      <c r="F144">
        <v>710.4</v>
      </c>
      <c r="G144">
        <v>13</v>
      </c>
      <c r="H144">
        <v>4.0999999999999996</v>
      </c>
      <c r="I144" t="b">
        <v>1</v>
      </c>
      <c r="J144">
        <v>54</v>
      </c>
      <c r="K144" t="s">
        <v>21</v>
      </c>
      <c r="L144" t="str" cm="1">
        <f t="array" ref="L144">_xlfn.IFS(Table1[[#This Row],[Discount Applied]]=TRUE,"Yes",Table1[[#This Row],[Discount Applied]]=FALSE,"No")</f>
        <v>Yes</v>
      </c>
      <c r="M144" t="str" cm="1">
        <f t="array" ref="M144">_xlfn.IFS(Table1[[#This Row],[Age]]&lt;18,"Under 18",Table1[[#This Row],[Age]]&lt;=23,"18-23",Table1[[#This Row],[Age]]&lt;=29,"24-29",Table1[[#This Row],[Age]]&lt;=35,"30-35",Table1[[#This Row],[Age]]&lt;=41,"36-41",Table1[[#This Row],[Age]]&gt;41,"Over 41")</f>
        <v>24-29</v>
      </c>
      <c r="N144" t="str" cm="1">
        <f t="array" ref="N144">_xlfn.IFS(Table1[[#This Row],[Days Since Last Purchase]]&lt;21,"Active",Table1[[#This Row],[Days Since Last Purchase]]&lt;=42,"Moderately Active",Table1[[#This Row],[Days Since Last Purchase]]&gt;=43, "Inactive")</f>
        <v>Inactive</v>
      </c>
      <c r="O144">
        <f>IF(K144="Satisfied",1,IF(K144="Neutral",0.5,IF(K144="Unsatisfied",0,IF(Table1[[#This Row],[Satisfaction Level]]="No Response","0"))))</f>
        <v>0</v>
      </c>
    </row>
    <row r="145" spans="1:15" x14ac:dyDescent="0.45">
      <c r="A145">
        <v>244</v>
      </c>
      <c r="B145" t="s">
        <v>11</v>
      </c>
      <c r="C145">
        <v>37</v>
      </c>
      <c r="D145" t="s">
        <v>24</v>
      </c>
      <c r="E145" t="s">
        <v>20</v>
      </c>
      <c r="F145">
        <v>430.8</v>
      </c>
      <c r="G145">
        <v>7</v>
      </c>
      <c r="H145">
        <v>3.4</v>
      </c>
      <c r="I145" t="b">
        <v>0</v>
      </c>
      <c r="J145">
        <v>23</v>
      </c>
      <c r="K145" t="s">
        <v>25</v>
      </c>
      <c r="L145" t="str" cm="1">
        <f t="array" ref="L145">_xlfn.IFS(Table1[[#This Row],[Discount Applied]]=TRUE,"Yes",Table1[[#This Row],[Discount Applied]]=FALSE,"No")</f>
        <v>No</v>
      </c>
      <c r="M145" t="str" cm="1">
        <f t="array" ref="M145">_xlfn.IFS(Table1[[#This Row],[Age]]&lt;18,"Under 18",Table1[[#This Row],[Age]]&lt;=23,"18-23",Table1[[#This Row],[Age]]&lt;=29,"24-29",Table1[[#This Row],[Age]]&lt;=35,"30-35",Table1[[#This Row],[Age]]&lt;=41,"36-41",Table1[[#This Row],[Age]]&gt;41,"Over 41")</f>
        <v>36-41</v>
      </c>
      <c r="N145" t="str" cm="1">
        <f t="array" ref="N145">_xlfn.IFS(Table1[[#This Row],[Days Since Last Purchase]]&lt;21,"Active",Table1[[#This Row],[Days Since Last Purchase]]&lt;=42,"Moderately Active",Table1[[#This Row],[Days Since Last Purchase]]&gt;=43, "Inactive")</f>
        <v>Moderately Active</v>
      </c>
      <c r="O145" t="str">
        <f>IF(K145="Satisfied",1,IF(K145="Neutral",0.5,IF(K145="Unsatisfied",0,IF(Table1[[#This Row],[Satisfaction Level]]="No Response","0"))))</f>
        <v>0</v>
      </c>
    </row>
    <row r="146" spans="1:15" x14ac:dyDescent="0.45">
      <c r="A146">
        <v>245</v>
      </c>
      <c r="B146" t="s">
        <v>11</v>
      </c>
      <c r="C146">
        <v>31</v>
      </c>
      <c r="D146" t="s">
        <v>12</v>
      </c>
      <c r="E146" t="s">
        <v>13</v>
      </c>
      <c r="F146">
        <v>1130.5999999999999</v>
      </c>
      <c r="G146">
        <v>15</v>
      </c>
      <c r="H146">
        <v>4.5</v>
      </c>
      <c r="I146" t="b">
        <v>1</v>
      </c>
      <c r="J146">
        <v>26</v>
      </c>
      <c r="K146" t="s">
        <v>14</v>
      </c>
      <c r="L146" t="str" cm="1">
        <f t="array" ref="L146">_xlfn.IFS(Table1[[#This Row],[Discount Applied]]=TRUE,"Yes",Table1[[#This Row],[Discount Applied]]=FALSE,"No")</f>
        <v>Yes</v>
      </c>
      <c r="M146" t="str" cm="1">
        <f t="array" ref="M146">_xlfn.IFS(Table1[[#This Row],[Age]]&lt;18,"Under 18",Table1[[#This Row],[Age]]&lt;=23,"18-23",Table1[[#This Row],[Age]]&lt;=29,"24-29",Table1[[#This Row],[Age]]&lt;=35,"30-35",Table1[[#This Row],[Age]]&lt;=41,"36-41",Table1[[#This Row],[Age]]&gt;41,"Over 41")</f>
        <v>30-35</v>
      </c>
      <c r="N146" t="str" cm="1">
        <f t="array" ref="N146">_xlfn.IFS(Table1[[#This Row],[Days Since Last Purchase]]&lt;21,"Active",Table1[[#This Row],[Days Since Last Purchase]]&lt;=42,"Moderately Active",Table1[[#This Row],[Days Since Last Purchase]]&gt;=43, "Inactive")</f>
        <v>Moderately Active</v>
      </c>
      <c r="O146">
        <f>IF(K146="Satisfied",1,IF(K146="Neutral",0.5,IF(K146="Unsatisfied",0,IF(Table1[[#This Row],[Satisfaction Level]]="No Response","0"))))</f>
        <v>1</v>
      </c>
    </row>
    <row r="147" spans="1:15" x14ac:dyDescent="0.45">
      <c r="A147">
        <v>246</v>
      </c>
      <c r="B147" t="s">
        <v>15</v>
      </c>
      <c r="C147">
        <v>35</v>
      </c>
      <c r="D147" t="s">
        <v>16</v>
      </c>
      <c r="E147" t="s">
        <v>17</v>
      </c>
      <c r="F147">
        <v>820.9</v>
      </c>
      <c r="G147">
        <v>12</v>
      </c>
      <c r="H147">
        <v>4.3</v>
      </c>
      <c r="I147" t="b">
        <v>0</v>
      </c>
      <c r="J147">
        <v>12</v>
      </c>
      <c r="K147" t="s">
        <v>18</v>
      </c>
      <c r="L147" t="str" cm="1">
        <f t="array" ref="L147">_xlfn.IFS(Table1[[#This Row],[Discount Applied]]=TRUE,"Yes",Table1[[#This Row],[Discount Applied]]=FALSE,"No")</f>
        <v>No</v>
      </c>
      <c r="M147" t="str" cm="1">
        <f t="array" ref="M147">_xlfn.IFS(Table1[[#This Row],[Age]]&lt;18,"Under 18",Table1[[#This Row],[Age]]&lt;=23,"18-23",Table1[[#This Row],[Age]]&lt;=29,"24-29",Table1[[#This Row],[Age]]&lt;=35,"30-35",Table1[[#This Row],[Age]]&lt;=41,"36-41",Table1[[#This Row],[Age]]&gt;41,"Over 41")</f>
        <v>30-35</v>
      </c>
      <c r="N147" t="str" cm="1">
        <f t="array" ref="N147">_xlfn.IFS(Table1[[#This Row],[Days Since Last Purchase]]&lt;21,"Active",Table1[[#This Row],[Days Since Last Purchase]]&lt;=42,"Moderately Active",Table1[[#This Row],[Days Since Last Purchase]]&gt;=43, "Inactive")</f>
        <v>Active</v>
      </c>
      <c r="O147">
        <f>IF(K147="Satisfied",1,IF(K147="Neutral",0.5,IF(K147="Unsatisfied",0,IF(Table1[[#This Row],[Satisfaction Level]]="No Response","0"))))</f>
        <v>0.5</v>
      </c>
    </row>
    <row r="148" spans="1:15" x14ac:dyDescent="0.45">
      <c r="A148">
        <v>247</v>
      </c>
      <c r="B148" t="s">
        <v>11</v>
      </c>
      <c r="C148">
        <v>41</v>
      </c>
      <c r="D148" t="s">
        <v>19</v>
      </c>
      <c r="E148" t="s">
        <v>20</v>
      </c>
      <c r="F148">
        <v>480.25</v>
      </c>
      <c r="G148">
        <v>9</v>
      </c>
      <c r="H148">
        <v>3.6</v>
      </c>
      <c r="I148" t="b">
        <v>1</v>
      </c>
      <c r="J148">
        <v>38</v>
      </c>
      <c r="K148" t="s">
        <v>21</v>
      </c>
      <c r="L148" t="str" cm="1">
        <f t="array" ref="L148">_xlfn.IFS(Table1[[#This Row],[Discount Applied]]=TRUE,"Yes",Table1[[#This Row],[Discount Applied]]=FALSE,"No")</f>
        <v>Yes</v>
      </c>
      <c r="M148" t="str" cm="1">
        <f t="array" ref="M148">_xlfn.IFS(Table1[[#This Row],[Age]]&lt;18,"Under 18",Table1[[#This Row],[Age]]&lt;=23,"18-23",Table1[[#This Row],[Age]]&lt;=29,"24-29",Table1[[#This Row],[Age]]&lt;=35,"30-35",Table1[[#This Row],[Age]]&lt;=41,"36-41",Table1[[#This Row],[Age]]&gt;41,"Over 41")</f>
        <v>36-41</v>
      </c>
      <c r="N148" t="str" cm="1">
        <f t="array" ref="N148">_xlfn.IFS(Table1[[#This Row],[Days Since Last Purchase]]&lt;21,"Active",Table1[[#This Row],[Days Since Last Purchase]]&lt;=42,"Moderately Active",Table1[[#This Row],[Days Since Last Purchase]]&gt;=43, "Inactive")</f>
        <v>Moderately Active</v>
      </c>
      <c r="O148">
        <f>IF(K148="Satisfied",1,IF(K148="Neutral",0.5,IF(K148="Unsatisfied",0,IF(Table1[[#This Row],[Satisfaction Level]]="No Response","0"))))</f>
        <v>0</v>
      </c>
    </row>
    <row r="149" spans="1:15" x14ac:dyDescent="0.45">
      <c r="A149">
        <v>248</v>
      </c>
      <c r="B149" t="s">
        <v>15</v>
      </c>
      <c r="C149">
        <v>28</v>
      </c>
      <c r="D149" t="s">
        <v>22</v>
      </c>
      <c r="E149" t="s">
        <v>13</v>
      </c>
      <c r="F149">
        <v>1490.1</v>
      </c>
      <c r="G149">
        <v>21</v>
      </c>
      <c r="H149">
        <v>4.9000000000000004</v>
      </c>
      <c r="I149" t="b">
        <v>0</v>
      </c>
      <c r="J149">
        <v>9</v>
      </c>
      <c r="K149" t="s">
        <v>14</v>
      </c>
      <c r="L149" t="str" cm="1">
        <f t="array" ref="L149">_xlfn.IFS(Table1[[#This Row],[Discount Applied]]=TRUE,"Yes",Table1[[#This Row],[Discount Applied]]=FALSE,"No")</f>
        <v>No</v>
      </c>
      <c r="M149" t="str" cm="1">
        <f t="array" ref="M149">_xlfn.IFS(Table1[[#This Row],[Age]]&lt;18,"Under 18",Table1[[#This Row],[Age]]&lt;=23,"18-23",Table1[[#This Row],[Age]]&lt;=29,"24-29",Table1[[#This Row],[Age]]&lt;=35,"30-35",Table1[[#This Row],[Age]]&lt;=41,"36-41",Table1[[#This Row],[Age]]&gt;41,"Over 41")</f>
        <v>24-29</v>
      </c>
      <c r="N149" t="str" cm="1">
        <f t="array" ref="N149">_xlfn.IFS(Table1[[#This Row],[Days Since Last Purchase]]&lt;21,"Active",Table1[[#This Row],[Days Since Last Purchase]]&lt;=42,"Moderately Active",Table1[[#This Row],[Days Since Last Purchase]]&gt;=43, "Inactive")</f>
        <v>Active</v>
      </c>
      <c r="O149">
        <f>IF(K149="Satisfied",1,IF(K149="Neutral",0.5,IF(K149="Unsatisfied",0,IF(Table1[[#This Row],[Satisfaction Level]]="No Response","0"))))</f>
        <v>1</v>
      </c>
    </row>
    <row r="150" spans="1:15" x14ac:dyDescent="0.45">
      <c r="A150">
        <v>249</v>
      </c>
      <c r="B150" t="s">
        <v>15</v>
      </c>
      <c r="C150">
        <v>32</v>
      </c>
      <c r="D150" t="s">
        <v>23</v>
      </c>
      <c r="E150" t="s">
        <v>17</v>
      </c>
      <c r="F150">
        <v>680.3</v>
      </c>
      <c r="G150">
        <v>10</v>
      </c>
      <c r="H150">
        <v>3.8</v>
      </c>
      <c r="I150" t="b">
        <v>1</v>
      </c>
      <c r="J150">
        <v>32</v>
      </c>
      <c r="K150" t="s">
        <v>21</v>
      </c>
      <c r="L150" t="str" cm="1">
        <f t="array" ref="L150">_xlfn.IFS(Table1[[#This Row],[Discount Applied]]=TRUE,"Yes",Table1[[#This Row],[Discount Applied]]=FALSE,"No")</f>
        <v>Yes</v>
      </c>
      <c r="M150" t="str" cm="1">
        <f t="array" ref="M150">_xlfn.IFS(Table1[[#This Row],[Age]]&lt;18,"Under 18",Table1[[#This Row],[Age]]&lt;=23,"18-23",Table1[[#This Row],[Age]]&lt;=29,"24-29",Table1[[#This Row],[Age]]&lt;=35,"30-35",Table1[[#This Row],[Age]]&lt;=41,"36-41",Table1[[#This Row],[Age]]&gt;41,"Over 41")</f>
        <v>30-35</v>
      </c>
      <c r="N150" t="str" cm="1">
        <f t="array" ref="N150">_xlfn.IFS(Table1[[#This Row],[Days Since Last Purchase]]&lt;21,"Active",Table1[[#This Row],[Days Since Last Purchase]]&lt;=42,"Moderately Active",Table1[[#This Row],[Days Since Last Purchase]]&gt;=43, "Inactive")</f>
        <v>Moderately Active</v>
      </c>
      <c r="O150">
        <f>IF(K150="Satisfied",1,IF(K150="Neutral",0.5,IF(K150="Unsatisfied",0,IF(Table1[[#This Row],[Satisfaction Level]]="No Response","0"))))</f>
        <v>0</v>
      </c>
    </row>
    <row r="151" spans="1:15" x14ac:dyDescent="0.45">
      <c r="A151">
        <v>250</v>
      </c>
      <c r="B151" t="s">
        <v>11</v>
      </c>
      <c r="C151">
        <v>36</v>
      </c>
      <c r="D151" t="s">
        <v>24</v>
      </c>
      <c r="E151" t="s">
        <v>20</v>
      </c>
      <c r="F151">
        <v>470.5</v>
      </c>
      <c r="G151">
        <v>8</v>
      </c>
      <c r="H151">
        <v>3</v>
      </c>
      <c r="I151" t="b">
        <v>0</v>
      </c>
      <c r="J151">
        <v>18</v>
      </c>
      <c r="K151" t="s">
        <v>18</v>
      </c>
      <c r="L151" t="str" cm="1">
        <f t="array" ref="L151">_xlfn.IFS(Table1[[#This Row],[Discount Applied]]=TRUE,"Yes",Table1[[#This Row],[Discount Applied]]=FALSE,"No")</f>
        <v>No</v>
      </c>
      <c r="M151" t="str" cm="1">
        <f t="array" ref="M151">_xlfn.IFS(Table1[[#This Row],[Age]]&lt;18,"Under 18",Table1[[#This Row],[Age]]&lt;=23,"18-23",Table1[[#This Row],[Age]]&lt;=29,"24-29",Table1[[#This Row],[Age]]&lt;=35,"30-35",Table1[[#This Row],[Age]]&lt;=41,"36-41",Table1[[#This Row],[Age]]&gt;41,"Over 41")</f>
        <v>36-41</v>
      </c>
      <c r="N151" t="str" cm="1">
        <f t="array" ref="N151">_xlfn.IFS(Table1[[#This Row],[Days Since Last Purchase]]&lt;21,"Active",Table1[[#This Row],[Days Since Last Purchase]]&lt;=42,"Moderately Active",Table1[[#This Row],[Days Since Last Purchase]]&gt;=43, "Inactive")</f>
        <v>Active</v>
      </c>
      <c r="O151">
        <f>IF(K151="Satisfied",1,IF(K151="Neutral",0.5,IF(K151="Unsatisfied",0,IF(Table1[[#This Row],[Satisfaction Level]]="No Response","0"))))</f>
        <v>0.5</v>
      </c>
    </row>
    <row r="152" spans="1:15" x14ac:dyDescent="0.45">
      <c r="A152">
        <v>251</v>
      </c>
      <c r="B152" t="s">
        <v>11</v>
      </c>
      <c r="C152">
        <v>30</v>
      </c>
      <c r="D152" t="s">
        <v>12</v>
      </c>
      <c r="E152" t="s">
        <v>13</v>
      </c>
      <c r="F152">
        <v>1180.8</v>
      </c>
      <c r="G152">
        <v>16</v>
      </c>
      <c r="H152">
        <v>4.7</v>
      </c>
      <c r="I152" t="b">
        <v>1</v>
      </c>
      <c r="J152">
        <v>19</v>
      </c>
      <c r="K152" t="s">
        <v>14</v>
      </c>
      <c r="L152" t="str" cm="1">
        <f t="array" ref="L152">_xlfn.IFS(Table1[[#This Row],[Discount Applied]]=TRUE,"Yes",Table1[[#This Row],[Discount Applied]]=FALSE,"No")</f>
        <v>Yes</v>
      </c>
      <c r="M152" t="str" cm="1">
        <f t="array" ref="M152">_xlfn.IFS(Table1[[#This Row],[Age]]&lt;18,"Under 18",Table1[[#This Row],[Age]]&lt;=23,"18-23",Table1[[#This Row],[Age]]&lt;=29,"24-29",Table1[[#This Row],[Age]]&lt;=35,"30-35",Table1[[#This Row],[Age]]&lt;=41,"36-41",Table1[[#This Row],[Age]]&gt;41,"Over 41")</f>
        <v>30-35</v>
      </c>
      <c r="N152" t="str" cm="1">
        <f t="array" ref="N152">_xlfn.IFS(Table1[[#This Row],[Days Since Last Purchase]]&lt;21,"Active",Table1[[#This Row],[Days Since Last Purchase]]&lt;=42,"Moderately Active",Table1[[#This Row],[Days Since Last Purchase]]&gt;=43, "Inactive")</f>
        <v>Active</v>
      </c>
      <c r="O152">
        <f>IF(K152="Satisfied",1,IF(K152="Neutral",0.5,IF(K152="Unsatisfied",0,IF(Table1[[#This Row],[Satisfaction Level]]="No Response","0"))))</f>
        <v>1</v>
      </c>
    </row>
    <row r="153" spans="1:15" x14ac:dyDescent="0.45">
      <c r="A153">
        <v>252</v>
      </c>
      <c r="B153" t="s">
        <v>15</v>
      </c>
      <c r="C153">
        <v>34</v>
      </c>
      <c r="D153" t="s">
        <v>16</v>
      </c>
      <c r="E153" t="s">
        <v>17</v>
      </c>
      <c r="F153">
        <v>790.2</v>
      </c>
      <c r="G153">
        <v>11</v>
      </c>
      <c r="H153">
        <v>4</v>
      </c>
      <c r="I153" t="b">
        <v>0</v>
      </c>
      <c r="J153">
        <v>15</v>
      </c>
      <c r="K153" t="s">
        <v>18</v>
      </c>
      <c r="L153" t="str" cm="1">
        <f t="array" ref="L153">_xlfn.IFS(Table1[[#This Row],[Discount Applied]]=TRUE,"Yes",Table1[[#This Row],[Discount Applied]]=FALSE,"No")</f>
        <v>No</v>
      </c>
      <c r="M153" t="str" cm="1">
        <f t="array" ref="M153">_xlfn.IFS(Table1[[#This Row],[Age]]&lt;18,"Under 18",Table1[[#This Row],[Age]]&lt;=23,"18-23",Table1[[#This Row],[Age]]&lt;=29,"24-29",Table1[[#This Row],[Age]]&lt;=35,"30-35",Table1[[#This Row],[Age]]&lt;=41,"36-41",Table1[[#This Row],[Age]]&gt;41,"Over 41")</f>
        <v>30-35</v>
      </c>
      <c r="N153" t="str" cm="1">
        <f t="array" ref="N153">_xlfn.IFS(Table1[[#This Row],[Days Since Last Purchase]]&lt;21,"Active",Table1[[#This Row],[Days Since Last Purchase]]&lt;=42,"Moderately Active",Table1[[#This Row],[Days Since Last Purchase]]&gt;=43, "Inactive")</f>
        <v>Active</v>
      </c>
      <c r="O153">
        <f>IF(K153="Satisfied",1,IF(K153="Neutral",0.5,IF(K153="Unsatisfied",0,IF(Table1[[#This Row],[Satisfaction Level]]="No Response","0"))))</f>
        <v>0.5</v>
      </c>
    </row>
    <row r="154" spans="1:15" x14ac:dyDescent="0.45">
      <c r="A154">
        <v>253</v>
      </c>
      <c r="B154" t="s">
        <v>11</v>
      </c>
      <c r="C154">
        <v>43</v>
      </c>
      <c r="D154" t="s">
        <v>19</v>
      </c>
      <c r="E154" t="s">
        <v>20</v>
      </c>
      <c r="F154">
        <v>505.75</v>
      </c>
      <c r="G154">
        <v>10</v>
      </c>
      <c r="H154">
        <v>3.3</v>
      </c>
      <c r="I154" t="b">
        <v>1</v>
      </c>
      <c r="J154">
        <v>39</v>
      </c>
      <c r="K154" t="s">
        <v>21</v>
      </c>
      <c r="L154" t="str" cm="1">
        <f t="array" ref="L154">_xlfn.IFS(Table1[[#This Row],[Discount Applied]]=TRUE,"Yes",Table1[[#This Row],[Discount Applied]]=FALSE,"No")</f>
        <v>Yes</v>
      </c>
      <c r="M154" t="str" cm="1">
        <f t="array" ref="M154">_xlfn.IFS(Table1[[#This Row],[Age]]&lt;18,"Under 18",Table1[[#This Row],[Age]]&lt;=23,"18-23",Table1[[#This Row],[Age]]&lt;=29,"24-29",Table1[[#This Row],[Age]]&lt;=35,"30-35",Table1[[#This Row],[Age]]&lt;=41,"36-41",Table1[[#This Row],[Age]]&gt;41,"Over 41")</f>
        <v>Over 41</v>
      </c>
      <c r="N154" t="str" cm="1">
        <f t="array" ref="N154">_xlfn.IFS(Table1[[#This Row],[Days Since Last Purchase]]&lt;21,"Active",Table1[[#This Row],[Days Since Last Purchase]]&lt;=42,"Moderately Active",Table1[[#This Row],[Days Since Last Purchase]]&gt;=43, "Inactive")</f>
        <v>Moderately Active</v>
      </c>
      <c r="O154">
        <f>IF(K154="Satisfied",1,IF(K154="Neutral",0.5,IF(K154="Unsatisfied",0,IF(Table1[[#This Row],[Satisfaction Level]]="No Response","0"))))</f>
        <v>0</v>
      </c>
    </row>
    <row r="155" spans="1:15" x14ac:dyDescent="0.45">
      <c r="A155">
        <v>254</v>
      </c>
      <c r="B155" t="s">
        <v>15</v>
      </c>
      <c r="C155">
        <v>30</v>
      </c>
      <c r="D155" t="s">
        <v>22</v>
      </c>
      <c r="E155" t="s">
        <v>13</v>
      </c>
      <c r="F155">
        <v>1470.5</v>
      </c>
      <c r="G155">
        <v>20</v>
      </c>
      <c r="H155">
        <v>4.8</v>
      </c>
      <c r="I155" t="b">
        <v>0</v>
      </c>
      <c r="J155">
        <v>13</v>
      </c>
      <c r="K155" t="s">
        <v>14</v>
      </c>
      <c r="L155" t="str" cm="1">
        <f t="array" ref="L155">_xlfn.IFS(Table1[[#This Row],[Discount Applied]]=TRUE,"Yes",Table1[[#This Row],[Discount Applied]]=FALSE,"No")</f>
        <v>No</v>
      </c>
      <c r="M155" t="str" cm="1">
        <f t="array" ref="M155">_xlfn.IFS(Table1[[#This Row],[Age]]&lt;18,"Under 18",Table1[[#This Row],[Age]]&lt;=23,"18-23",Table1[[#This Row],[Age]]&lt;=29,"24-29",Table1[[#This Row],[Age]]&lt;=35,"30-35",Table1[[#This Row],[Age]]&lt;=41,"36-41",Table1[[#This Row],[Age]]&gt;41,"Over 41")</f>
        <v>30-35</v>
      </c>
      <c r="N155" t="str" cm="1">
        <f t="array" ref="N155">_xlfn.IFS(Table1[[#This Row],[Days Since Last Purchase]]&lt;21,"Active",Table1[[#This Row],[Days Since Last Purchase]]&lt;=42,"Moderately Active",Table1[[#This Row],[Days Since Last Purchase]]&gt;=43, "Inactive")</f>
        <v>Active</v>
      </c>
      <c r="O155">
        <f>IF(K155="Satisfied",1,IF(K155="Neutral",0.5,IF(K155="Unsatisfied",0,IF(Table1[[#This Row],[Satisfaction Level]]="No Response","0"))))</f>
        <v>1</v>
      </c>
    </row>
    <row r="156" spans="1:15" x14ac:dyDescent="0.45">
      <c r="A156">
        <v>255</v>
      </c>
      <c r="B156" t="s">
        <v>15</v>
      </c>
      <c r="C156">
        <v>27</v>
      </c>
      <c r="D156" t="s">
        <v>23</v>
      </c>
      <c r="E156" t="s">
        <v>17</v>
      </c>
      <c r="F156">
        <v>710.4</v>
      </c>
      <c r="G156">
        <v>13</v>
      </c>
      <c r="H156">
        <v>4.0999999999999996</v>
      </c>
      <c r="I156" t="b">
        <v>1</v>
      </c>
      <c r="J156">
        <v>54</v>
      </c>
      <c r="K156" t="s">
        <v>21</v>
      </c>
      <c r="L156" t="str" cm="1">
        <f t="array" ref="L156">_xlfn.IFS(Table1[[#This Row],[Discount Applied]]=TRUE,"Yes",Table1[[#This Row],[Discount Applied]]=FALSE,"No")</f>
        <v>Yes</v>
      </c>
      <c r="M156" t="str" cm="1">
        <f t="array" ref="M156">_xlfn.IFS(Table1[[#This Row],[Age]]&lt;18,"Under 18",Table1[[#This Row],[Age]]&lt;=23,"18-23",Table1[[#This Row],[Age]]&lt;=29,"24-29",Table1[[#This Row],[Age]]&lt;=35,"30-35",Table1[[#This Row],[Age]]&lt;=41,"36-41",Table1[[#This Row],[Age]]&gt;41,"Over 41")</f>
        <v>24-29</v>
      </c>
      <c r="N156" t="str" cm="1">
        <f t="array" ref="N156">_xlfn.IFS(Table1[[#This Row],[Days Since Last Purchase]]&lt;21,"Active",Table1[[#This Row],[Days Since Last Purchase]]&lt;=42,"Moderately Active",Table1[[#This Row],[Days Since Last Purchase]]&gt;=43, "Inactive")</f>
        <v>Inactive</v>
      </c>
      <c r="O156">
        <f>IF(K156="Satisfied",1,IF(K156="Neutral",0.5,IF(K156="Unsatisfied",0,IF(Table1[[#This Row],[Satisfaction Level]]="No Response","0"))))</f>
        <v>0</v>
      </c>
    </row>
    <row r="157" spans="1:15" x14ac:dyDescent="0.45">
      <c r="A157">
        <v>256</v>
      </c>
      <c r="B157" t="s">
        <v>11</v>
      </c>
      <c r="C157">
        <v>37</v>
      </c>
      <c r="D157" t="s">
        <v>24</v>
      </c>
      <c r="E157" t="s">
        <v>20</v>
      </c>
      <c r="F157">
        <v>430.8</v>
      </c>
      <c r="G157">
        <v>7</v>
      </c>
      <c r="H157">
        <v>3.4</v>
      </c>
      <c r="I157" t="b">
        <v>0</v>
      </c>
      <c r="J157">
        <v>23</v>
      </c>
      <c r="K157" t="s">
        <v>18</v>
      </c>
      <c r="L157" t="str" cm="1">
        <f t="array" ref="L157">_xlfn.IFS(Table1[[#This Row],[Discount Applied]]=TRUE,"Yes",Table1[[#This Row],[Discount Applied]]=FALSE,"No")</f>
        <v>No</v>
      </c>
      <c r="M157" t="str" cm="1">
        <f t="array" ref="M157">_xlfn.IFS(Table1[[#This Row],[Age]]&lt;18,"Under 18",Table1[[#This Row],[Age]]&lt;=23,"18-23",Table1[[#This Row],[Age]]&lt;=29,"24-29",Table1[[#This Row],[Age]]&lt;=35,"30-35",Table1[[#This Row],[Age]]&lt;=41,"36-41",Table1[[#This Row],[Age]]&gt;41,"Over 41")</f>
        <v>36-41</v>
      </c>
      <c r="N157" t="str" cm="1">
        <f t="array" ref="N157">_xlfn.IFS(Table1[[#This Row],[Days Since Last Purchase]]&lt;21,"Active",Table1[[#This Row],[Days Since Last Purchase]]&lt;=42,"Moderately Active",Table1[[#This Row],[Days Since Last Purchase]]&gt;=43, "Inactive")</f>
        <v>Moderately Active</v>
      </c>
      <c r="O157">
        <f>IF(K157="Satisfied",1,IF(K157="Neutral",0.5,IF(K157="Unsatisfied",0,IF(Table1[[#This Row],[Satisfaction Level]]="No Response","0"))))</f>
        <v>0.5</v>
      </c>
    </row>
    <row r="158" spans="1:15" x14ac:dyDescent="0.45">
      <c r="A158">
        <v>257</v>
      </c>
      <c r="B158" t="s">
        <v>11</v>
      </c>
      <c r="C158">
        <v>31</v>
      </c>
      <c r="D158" t="s">
        <v>12</v>
      </c>
      <c r="E158" t="s">
        <v>13</v>
      </c>
      <c r="F158">
        <v>1140.5999999999999</v>
      </c>
      <c r="G158">
        <v>15</v>
      </c>
      <c r="H158">
        <v>4.5999999999999996</v>
      </c>
      <c r="I158" t="b">
        <v>1</v>
      </c>
      <c r="J158">
        <v>27</v>
      </c>
      <c r="K158" t="s">
        <v>14</v>
      </c>
      <c r="L158" t="str" cm="1">
        <f t="array" ref="L158">_xlfn.IFS(Table1[[#This Row],[Discount Applied]]=TRUE,"Yes",Table1[[#This Row],[Discount Applied]]=FALSE,"No")</f>
        <v>Yes</v>
      </c>
      <c r="M158" t="str" cm="1">
        <f t="array" ref="M158">_xlfn.IFS(Table1[[#This Row],[Age]]&lt;18,"Under 18",Table1[[#This Row],[Age]]&lt;=23,"18-23",Table1[[#This Row],[Age]]&lt;=29,"24-29",Table1[[#This Row],[Age]]&lt;=35,"30-35",Table1[[#This Row],[Age]]&lt;=41,"36-41",Table1[[#This Row],[Age]]&gt;41,"Over 41")</f>
        <v>30-35</v>
      </c>
      <c r="N158" t="str" cm="1">
        <f t="array" ref="N158">_xlfn.IFS(Table1[[#This Row],[Days Since Last Purchase]]&lt;21,"Active",Table1[[#This Row],[Days Since Last Purchase]]&lt;=42,"Moderately Active",Table1[[#This Row],[Days Since Last Purchase]]&gt;=43, "Inactive")</f>
        <v>Moderately Active</v>
      </c>
      <c r="O158">
        <f>IF(K158="Satisfied",1,IF(K158="Neutral",0.5,IF(K158="Unsatisfied",0,IF(Table1[[#This Row],[Satisfaction Level]]="No Response","0"))))</f>
        <v>1</v>
      </c>
    </row>
    <row r="159" spans="1:15" x14ac:dyDescent="0.45">
      <c r="A159">
        <v>258</v>
      </c>
      <c r="B159" t="s">
        <v>15</v>
      </c>
      <c r="C159">
        <v>35</v>
      </c>
      <c r="D159" t="s">
        <v>16</v>
      </c>
      <c r="E159" t="s">
        <v>17</v>
      </c>
      <c r="F159">
        <v>810.9</v>
      </c>
      <c r="G159">
        <v>12</v>
      </c>
      <c r="H159">
        <v>4.3</v>
      </c>
      <c r="I159" t="b">
        <v>0</v>
      </c>
      <c r="J159">
        <v>13</v>
      </c>
      <c r="K159" t="s">
        <v>18</v>
      </c>
      <c r="L159" t="str" cm="1">
        <f t="array" ref="L159">_xlfn.IFS(Table1[[#This Row],[Discount Applied]]=TRUE,"Yes",Table1[[#This Row],[Discount Applied]]=FALSE,"No")</f>
        <v>No</v>
      </c>
      <c r="M159" t="str" cm="1">
        <f t="array" ref="M159">_xlfn.IFS(Table1[[#This Row],[Age]]&lt;18,"Under 18",Table1[[#This Row],[Age]]&lt;=23,"18-23",Table1[[#This Row],[Age]]&lt;=29,"24-29",Table1[[#This Row],[Age]]&lt;=35,"30-35",Table1[[#This Row],[Age]]&lt;=41,"36-41",Table1[[#This Row],[Age]]&gt;41,"Over 41")</f>
        <v>30-35</v>
      </c>
      <c r="N159" t="str" cm="1">
        <f t="array" ref="N159">_xlfn.IFS(Table1[[#This Row],[Days Since Last Purchase]]&lt;21,"Active",Table1[[#This Row],[Days Since Last Purchase]]&lt;=42,"Moderately Active",Table1[[#This Row],[Days Since Last Purchase]]&gt;=43, "Inactive")</f>
        <v>Active</v>
      </c>
      <c r="O159">
        <f>IF(K159="Satisfied",1,IF(K159="Neutral",0.5,IF(K159="Unsatisfied",0,IF(Table1[[#This Row],[Satisfaction Level]]="No Response","0"))))</f>
        <v>0.5</v>
      </c>
    </row>
    <row r="160" spans="1:15" x14ac:dyDescent="0.45">
      <c r="A160">
        <v>259</v>
      </c>
      <c r="B160" t="s">
        <v>11</v>
      </c>
      <c r="C160">
        <v>41</v>
      </c>
      <c r="D160" t="s">
        <v>19</v>
      </c>
      <c r="E160" t="s">
        <v>20</v>
      </c>
      <c r="F160">
        <v>485.25</v>
      </c>
      <c r="G160">
        <v>9</v>
      </c>
      <c r="H160">
        <v>3.6</v>
      </c>
      <c r="I160" t="b">
        <v>1</v>
      </c>
      <c r="J160">
        <v>39</v>
      </c>
      <c r="K160" t="s">
        <v>21</v>
      </c>
      <c r="L160" t="str" cm="1">
        <f t="array" ref="L160">_xlfn.IFS(Table1[[#This Row],[Discount Applied]]=TRUE,"Yes",Table1[[#This Row],[Discount Applied]]=FALSE,"No")</f>
        <v>Yes</v>
      </c>
      <c r="M160" t="str" cm="1">
        <f t="array" ref="M160">_xlfn.IFS(Table1[[#This Row],[Age]]&lt;18,"Under 18",Table1[[#This Row],[Age]]&lt;=23,"18-23",Table1[[#This Row],[Age]]&lt;=29,"24-29",Table1[[#This Row],[Age]]&lt;=35,"30-35",Table1[[#This Row],[Age]]&lt;=41,"36-41",Table1[[#This Row],[Age]]&gt;41,"Over 41")</f>
        <v>36-41</v>
      </c>
      <c r="N160" t="str" cm="1">
        <f t="array" ref="N160">_xlfn.IFS(Table1[[#This Row],[Days Since Last Purchase]]&lt;21,"Active",Table1[[#This Row],[Days Since Last Purchase]]&lt;=42,"Moderately Active",Table1[[#This Row],[Days Since Last Purchase]]&gt;=43, "Inactive")</f>
        <v>Moderately Active</v>
      </c>
      <c r="O160">
        <f>IF(K160="Satisfied",1,IF(K160="Neutral",0.5,IF(K160="Unsatisfied",0,IF(Table1[[#This Row],[Satisfaction Level]]="No Response","0"))))</f>
        <v>0</v>
      </c>
    </row>
    <row r="161" spans="1:15" x14ac:dyDescent="0.45">
      <c r="A161">
        <v>260</v>
      </c>
      <c r="B161" t="s">
        <v>15</v>
      </c>
      <c r="C161">
        <v>28</v>
      </c>
      <c r="D161" t="s">
        <v>22</v>
      </c>
      <c r="E161" t="s">
        <v>13</v>
      </c>
      <c r="F161">
        <v>1500.1</v>
      </c>
      <c r="G161">
        <v>21</v>
      </c>
      <c r="H161">
        <v>4.9000000000000004</v>
      </c>
      <c r="I161" t="b">
        <v>0</v>
      </c>
      <c r="J161">
        <v>10</v>
      </c>
      <c r="K161" t="s">
        <v>14</v>
      </c>
      <c r="L161" t="str" cm="1">
        <f t="array" ref="L161">_xlfn.IFS(Table1[[#This Row],[Discount Applied]]=TRUE,"Yes",Table1[[#This Row],[Discount Applied]]=FALSE,"No")</f>
        <v>No</v>
      </c>
      <c r="M161" t="str" cm="1">
        <f t="array" ref="M161">_xlfn.IFS(Table1[[#This Row],[Age]]&lt;18,"Under 18",Table1[[#This Row],[Age]]&lt;=23,"18-23",Table1[[#This Row],[Age]]&lt;=29,"24-29",Table1[[#This Row],[Age]]&lt;=35,"30-35",Table1[[#This Row],[Age]]&lt;=41,"36-41",Table1[[#This Row],[Age]]&gt;41,"Over 41")</f>
        <v>24-29</v>
      </c>
      <c r="N161" t="str" cm="1">
        <f t="array" ref="N161">_xlfn.IFS(Table1[[#This Row],[Days Since Last Purchase]]&lt;21,"Active",Table1[[#This Row],[Days Since Last Purchase]]&lt;=42,"Moderately Active",Table1[[#This Row],[Days Since Last Purchase]]&gt;=43, "Inactive")</f>
        <v>Active</v>
      </c>
      <c r="O161">
        <f>IF(K161="Satisfied",1,IF(K161="Neutral",0.5,IF(K161="Unsatisfied",0,IF(Table1[[#This Row],[Satisfaction Level]]="No Response","0"))))</f>
        <v>1</v>
      </c>
    </row>
    <row r="162" spans="1:15" x14ac:dyDescent="0.45">
      <c r="A162">
        <v>261</v>
      </c>
      <c r="B162" t="s">
        <v>15</v>
      </c>
      <c r="C162">
        <v>32</v>
      </c>
      <c r="D162" t="s">
        <v>23</v>
      </c>
      <c r="E162" t="s">
        <v>17</v>
      </c>
      <c r="F162">
        <v>670.3</v>
      </c>
      <c r="G162">
        <v>10</v>
      </c>
      <c r="H162">
        <v>3.8</v>
      </c>
      <c r="I162" t="b">
        <v>1</v>
      </c>
      <c r="J162">
        <v>33</v>
      </c>
      <c r="K162" t="s">
        <v>21</v>
      </c>
      <c r="L162" t="str" cm="1">
        <f t="array" ref="L162">_xlfn.IFS(Table1[[#This Row],[Discount Applied]]=TRUE,"Yes",Table1[[#This Row],[Discount Applied]]=FALSE,"No")</f>
        <v>Yes</v>
      </c>
      <c r="M162" t="str" cm="1">
        <f t="array" ref="M162">_xlfn.IFS(Table1[[#This Row],[Age]]&lt;18,"Under 18",Table1[[#This Row],[Age]]&lt;=23,"18-23",Table1[[#This Row],[Age]]&lt;=29,"24-29",Table1[[#This Row],[Age]]&lt;=35,"30-35",Table1[[#This Row],[Age]]&lt;=41,"36-41",Table1[[#This Row],[Age]]&gt;41,"Over 41")</f>
        <v>30-35</v>
      </c>
      <c r="N162" t="str" cm="1">
        <f t="array" ref="N162">_xlfn.IFS(Table1[[#This Row],[Days Since Last Purchase]]&lt;21,"Active",Table1[[#This Row],[Days Since Last Purchase]]&lt;=42,"Moderately Active",Table1[[#This Row],[Days Since Last Purchase]]&gt;=43, "Inactive")</f>
        <v>Moderately Active</v>
      </c>
      <c r="O162">
        <f>IF(K162="Satisfied",1,IF(K162="Neutral",0.5,IF(K162="Unsatisfied",0,IF(Table1[[#This Row],[Satisfaction Level]]="No Response","0"))))</f>
        <v>0</v>
      </c>
    </row>
    <row r="163" spans="1:15" x14ac:dyDescent="0.45">
      <c r="A163">
        <v>262</v>
      </c>
      <c r="B163" t="s">
        <v>11</v>
      </c>
      <c r="C163">
        <v>36</v>
      </c>
      <c r="D163" t="s">
        <v>24</v>
      </c>
      <c r="E163" t="s">
        <v>20</v>
      </c>
      <c r="F163">
        <v>460.5</v>
      </c>
      <c r="G163">
        <v>8</v>
      </c>
      <c r="H163">
        <v>3.1</v>
      </c>
      <c r="I163" t="b">
        <v>0</v>
      </c>
      <c r="J163">
        <v>19</v>
      </c>
      <c r="K163" t="s">
        <v>18</v>
      </c>
      <c r="L163" t="str" cm="1">
        <f t="array" ref="L163">_xlfn.IFS(Table1[[#This Row],[Discount Applied]]=TRUE,"Yes",Table1[[#This Row],[Discount Applied]]=FALSE,"No")</f>
        <v>No</v>
      </c>
      <c r="M163" t="str" cm="1">
        <f t="array" ref="M163">_xlfn.IFS(Table1[[#This Row],[Age]]&lt;18,"Under 18",Table1[[#This Row],[Age]]&lt;=23,"18-23",Table1[[#This Row],[Age]]&lt;=29,"24-29",Table1[[#This Row],[Age]]&lt;=35,"30-35",Table1[[#This Row],[Age]]&lt;=41,"36-41",Table1[[#This Row],[Age]]&gt;41,"Over 41")</f>
        <v>36-41</v>
      </c>
      <c r="N163" t="str" cm="1">
        <f t="array" ref="N163">_xlfn.IFS(Table1[[#This Row],[Days Since Last Purchase]]&lt;21,"Active",Table1[[#This Row],[Days Since Last Purchase]]&lt;=42,"Moderately Active",Table1[[#This Row],[Days Since Last Purchase]]&gt;=43, "Inactive")</f>
        <v>Active</v>
      </c>
      <c r="O163">
        <f>IF(K163="Satisfied",1,IF(K163="Neutral",0.5,IF(K163="Unsatisfied",0,IF(Table1[[#This Row],[Satisfaction Level]]="No Response","0"))))</f>
        <v>0.5</v>
      </c>
    </row>
    <row r="164" spans="1:15" x14ac:dyDescent="0.45">
      <c r="A164">
        <v>263</v>
      </c>
      <c r="B164" t="s">
        <v>11</v>
      </c>
      <c r="C164">
        <v>30</v>
      </c>
      <c r="D164" t="s">
        <v>12</v>
      </c>
      <c r="E164" t="s">
        <v>13</v>
      </c>
      <c r="F164">
        <v>1190.8</v>
      </c>
      <c r="G164">
        <v>16</v>
      </c>
      <c r="H164">
        <v>4.5</v>
      </c>
      <c r="I164" t="b">
        <v>1</v>
      </c>
      <c r="J164">
        <v>20</v>
      </c>
      <c r="K164" t="s">
        <v>14</v>
      </c>
      <c r="L164" t="str" cm="1">
        <f t="array" ref="L164">_xlfn.IFS(Table1[[#This Row],[Discount Applied]]=TRUE,"Yes",Table1[[#This Row],[Discount Applied]]=FALSE,"No")</f>
        <v>Yes</v>
      </c>
      <c r="M164" t="str" cm="1">
        <f t="array" ref="M164">_xlfn.IFS(Table1[[#This Row],[Age]]&lt;18,"Under 18",Table1[[#This Row],[Age]]&lt;=23,"18-23",Table1[[#This Row],[Age]]&lt;=29,"24-29",Table1[[#This Row],[Age]]&lt;=35,"30-35",Table1[[#This Row],[Age]]&lt;=41,"36-41",Table1[[#This Row],[Age]]&gt;41,"Over 41")</f>
        <v>30-35</v>
      </c>
      <c r="N164" t="str" cm="1">
        <f t="array" ref="N164">_xlfn.IFS(Table1[[#This Row],[Days Since Last Purchase]]&lt;21,"Active",Table1[[#This Row],[Days Since Last Purchase]]&lt;=42,"Moderately Active",Table1[[#This Row],[Days Since Last Purchase]]&gt;=43, "Inactive")</f>
        <v>Active</v>
      </c>
      <c r="O164">
        <f>IF(K164="Satisfied",1,IF(K164="Neutral",0.5,IF(K164="Unsatisfied",0,IF(Table1[[#This Row],[Satisfaction Level]]="No Response","0"))))</f>
        <v>1</v>
      </c>
    </row>
    <row r="165" spans="1:15" x14ac:dyDescent="0.45">
      <c r="A165">
        <v>264</v>
      </c>
      <c r="B165" t="s">
        <v>15</v>
      </c>
      <c r="C165">
        <v>33</v>
      </c>
      <c r="D165" t="s">
        <v>16</v>
      </c>
      <c r="E165" t="s">
        <v>17</v>
      </c>
      <c r="F165">
        <v>830.75</v>
      </c>
      <c r="G165">
        <v>13</v>
      </c>
      <c r="H165">
        <v>4.2</v>
      </c>
      <c r="I165" t="b">
        <v>0</v>
      </c>
      <c r="J165">
        <v>14</v>
      </c>
      <c r="K165" t="s">
        <v>14</v>
      </c>
      <c r="L165" t="str" cm="1">
        <f t="array" ref="L165">_xlfn.IFS(Table1[[#This Row],[Discount Applied]]=TRUE,"Yes",Table1[[#This Row],[Discount Applied]]=FALSE,"No")</f>
        <v>No</v>
      </c>
      <c r="M165" t="str" cm="1">
        <f t="array" ref="M165">_xlfn.IFS(Table1[[#This Row],[Age]]&lt;18,"Under 18",Table1[[#This Row],[Age]]&lt;=23,"18-23",Table1[[#This Row],[Age]]&lt;=29,"24-29",Table1[[#This Row],[Age]]&lt;=35,"30-35",Table1[[#This Row],[Age]]&lt;=41,"36-41",Table1[[#This Row],[Age]]&gt;41,"Over 41")</f>
        <v>30-35</v>
      </c>
      <c r="N165" t="str" cm="1">
        <f t="array" ref="N165">_xlfn.IFS(Table1[[#This Row],[Days Since Last Purchase]]&lt;21,"Active",Table1[[#This Row],[Days Since Last Purchase]]&lt;=42,"Moderately Active",Table1[[#This Row],[Days Since Last Purchase]]&gt;=43, "Inactive")</f>
        <v>Active</v>
      </c>
      <c r="O165">
        <f>IF(K165="Satisfied",1,IF(K165="Neutral",0.5,IF(K165="Unsatisfied",0,IF(Table1[[#This Row],[Satisfaction Level]]="No Response","0"))))</f>
        <v>1</v>
      </c>
    </row>
    <row r="166" spans="1:15" x14ac:dyDescent="0.45">
      <c r="A166">
        <v>265</v>
      </c>
      <c r="B166" t="s">
        <v>11</v>
      </c>
      <c r="C166">
        <v>42</v>
      </c>
      <c r="D166" t="s">
        <v>19</v>
      </c>
      <c r="E166" t="s">
        <v>20</v>
      </c>
      <c r="F166">
        <v>520.4</v>
      </c>
      <c r="G166">
        <v>9</v>
      </c>
      <c r="H166">
        <v>3.5</v>
      </c>
      <c r="I166" t="b">
        <v>1</v>
      </c>
      <c r="J166">
        <v>37</v>
      </c>
      <c r="K166" t="s">
        <v>21</v>
      </c>
      <c r="L166" t="str" cm="1">
        <f t="array" ref="L166">_xlfn.IFS(Table1[[#This Row],[Discount Applied]]=TRUE,"Yes",Table1[[#This Row],[Discount Applied]]=FALSE,"No")</f>
        <v>Yes</v>
      </c>
      <c r="M166" t="str" cm="1">
        <f t="array" ref="M166">_xlfn.IFS(Table1[[#This Row],[Age]]&lt;18,"Under 18",Table1[[#This Row],[Age]]&lt;=23,"18-23",Table1[[#This Row],[Age]]&lt;=29,"24-29",Table1[[#This Row],[Age]]&lt;=35,"30-35",Table1[[#This Row],[Age]]&lt;=41,"36-41",Table1[[#This Row],[Age]]&gt;41,"Over 41")</f>
        <v>Over 41</v>
      </c>
      <c r="N166" t="str" cm="1">
        <f t="array" ref="N166">_xlfn.IFS(Table1[[#This Row],[Days Since Last Purchase]]&lt;21,"Active",Table1[[#This Row],[Days Since Last Purchase]]&lt;=42,"Moderately Active",Table1[[#This Row],[Days Since Last Purchase]]&gt;=43, "Inactive")</f>
        <v>Moderately Active</v>
      </c>
      <c r="O166">
        <f>IF(K166="Satisfied",1,IF(K166="Neutral",0.5,IF(K166="Unsatisfied",0,IF(Table1[[#This Row],[Satisfaction Level]]="No Response","0"))))</f>
        <v>0</v>
      </c>
    </row>
    <row r="167" spans="1:15" x14ac:dyDescent="0.45">
      <c r="A167">
        <v>266</v>
      </c>
      <c r="B167" t="s">
        <v>15</v>
      </c>
      <c r="C167">
        <v>29</v>
      </c>
      <c r="D167" t="s">
        <v>22</v>
      </c>
      <c r="E167" t="s">
        <v>13</v>
      </c>
      <c r="F167">
        <v>1370.2</v>
      </c>
      <c r="G167">
        <v>18</v>
      </c>
      <c r="H167">
        <v>4.7</v>
      </c>
      <c r="I167" t="b">
        <v>0</v>
      </c>
      <c r="J167">
        <v>10</v>
      </c>
      <c r="K167" t="s">
        <v>14</v>
      </c>
      <c r="L167" t="str" cm="1">
        <f t="array" ref="L167">_xlfn.IFS(Table1[[#This Row],[Discount Applied]]=TRUE,"Yes",Table1[[#This Row],[Discount Applied]]=FALSE,"No")</f>
        <v>No</v>
      </c>
      <c r="M167" t="str" cm="1">
        <f t="array" ref="M167">_xlfn.IFS(Table1[[#This Row],[Age]]&lt;18,"Under 18",Table1[[#This Row],[Age]]&lt;=23,"18-23",Table1[[#This Row],[Age]]&lt;=29,"24-29",Table1[[#This Row],[Age]]&lt;=35,"30-35",Table1[[#This Row],[Age]]&lt;=41,"36-41",Table1[[#This Row],[Age]]&gt;41,"Over 41")</f>
        <v>24-29</v>
      </c>
      <c r="N167" t="str" cm="1">
        <f t="array" ref="N167">_xlfn.IFS(Table1[[#This Row],[Days Since Last Purchase]]&lt;21,"Active",Table1[[#This Row],[Days Since Last Purchase]]&lt;=42,"Moderately Active",Table1[[#This Row],[Days Since Last Purchase]]&gt;=43, "Inactive")</f>
        <v>Active</v>
      </c>
      <c r="O167">
        <f>IF(K167="Satisfied",1,IF(K167="Neutral",0.5,IF(K167="Unsatisfied",0,IF(Table1[[#This Row],[Satisfaction Level]]="No Response","0"))))</f>
        <v>1</v>
      </c>
    </row>
    <row r="168" spans="1:15" x14ac:dyDescent="0.45">
      <c r="A168">
        <v>267</v>
      </c>
      <c r="B168" t="s">
        <v>15</v>
      </c>
      <c r="C168">
        <v>26</v>
      </c>
      <c r="D168" t="s">
        <v>23</v>
      </c>
      <c r="E168" t="s">
        <v>17</v>
      </c>
      <c r="F168">
        <v>690.6</v>
      </c>
      <c r="G168">
        <v>12</v>
      </c>
      <c r="H168">
        <v>3.9</v>
      </c>
      <c r="I168" t="b">
        <v>1</v>
      </c>
      <c r="J168">
        <v>47</v>
      </c>
      <c r="K168" t="s">
        <v>21</v>
      </c>
      <c r="L168" t="str" cm="1">
        <f t="array" ref="L168">_xlfn.IFS(Table1[[#This Row],[Discount Applied]]=TRUE,"Yes",Table1[[#This Row],[Discount Applied]]=FALSE,"No")</f>
        <v>Yes</v>
      </c>
      <c r="M168" t="str" cm="1">
        <f t="array" ref="M168">_xlfn.IFS(Table1[[#This Row],[Age]]&lt;18,"Under 18",Table1[[#This Row],[Age]]&lt;=23,"18-23",Table1[[#This Row],[Age]]&lt;=29,"24-29",Table1[[#This Row],[Age]]&lt;=35,"30-35",Table1[[#This Row],[Age]]&lt;=41,"36-41",Table1[[#This Row],[Age]]&gt;41,"Over 41")</f>
        <v>24-29</v>
      </c>
      <c r="N168" t="str" cm="1">
        <f t="array" ref="N168">_xlfn.IFS(Table1[[#This Row],[Days Since Last Purchase]]&lt;21,"Active",Table1[[#This Row],[Days Since Last Purchase]]&lt;=42,"Moderately Active",Table1[[#This Row],[Days Since Last Purchase]]&gt;=43, "Inactive")</f>
        <v>Inactive</v>
      </c>
      <c r="O168">
        <f>IF(K168="Satisfied",1,IF(K168="Neutral",0.5,IF(K168="Unsatisfied",0,IF(Table1[[#This Row],[Satisfaction Level]]="No Response","0"))))</f>
        <v>0</v>
      </c>
    </row>
    <row r="169" spans="1:15" x14ac:dyDescent="0.45">
      <c r="A169">
        <v>268</v>
      </c>
      <c r="B169" t="s">
        <v>11</v>
      </c>
      <c r="C169">
        <v>38</v>
      </c>
      <c r="D169" t="s">
        <v>24</v>
      </c>
      <c r="E169" t="s">
        <v>20</v>
      </c>
      <c r="F169">
        <v>440.9</v>
      </c>
      <c r="G169">
        <v>8</v>
      </c>
      <c r="H169">
        <v>3.2</v>
      </c>
      <c r="I169" t="b">
        <v>0</v>
      </c>
      <c r="J169">
        <v>24</v>
      </c>
      <c r="K169" t="s">
        <v>18</v>
      </c>
      <c r="L169" t="str" cm="1">
        <f t="array" ref="L169">_xlfn.IFS(Table1[[#This Row],[Discount Applied]]=TRUE,"Yes",Table1[[#This Row],[Discount Applied]]=FALSE,"No")</f>
        <v>No</v>
      </c>
      <c r="M169" t="str" cm="1">
        <f t="array" ref="M169">_xlfn.IFS(Table1[[#This Row],[Age]]&lt;18,"Under 18",Table1[[#This Row],[Age]]&lt;=23,"18-23",Table1[[#This Row],[Age]]&lt;=29,"24-29",Table1[[#This Row],[Age]]&lt;=35,"30-35",Table1[[#This Row],[Age]]&lt;=41,"36-41",Table1[[#This Row],[Age]]&gt;41,"Over 41")</f>
        <v>36-41</v>
      </c>
      <c r="N169" t="str" cm="1">
        <f t="array" ref="N169">_xlfn.IFS(Table1[[#This Row],[Days Since Last Purchase]]&lt;21,"Active",Table1[[#This Row],[Days Since Last Purchase]]&lt;=42,"Moderately Active",Table1[[#This Row],[Days Since Last Purchase]]&gt;=43, "Inactive")</f>
        <v>Moderately Active</v>
      </c>
      <c r="O169">
        <f>IF(K169="Satisfied",1,IF(K169="Neutral",0.5,IF(K169="Unsatisfied",0,IF(Table1[[#This Row],[Satisfaction Level]]="No Response","0"))))</f>
        <v>0.5</v>
      </c>
    </row>
    <row r="170" spans="1:15" x14ac:dyDescent="0.45">
      <c r="A170">
        <v>269</v>
      </c>
      <c r="B170" t="s">
        <v>11</v>
      </c>
      <c r="C170">
        <v>32</v>
      </c>
      <c r="D170" t="s">
        <v>12</v>
      </c>
      <c r="E170" t="s">
        <v>13</v>
      </c>
      <c r="F170">
        <v>1160.3</v>
      </c>
      <c r="G170">
        <v>14</v>
      </c>
      <c r="H170">
        <v>4.4000000000000004</v>
      </c>
      <c r="I170" t="b">
        <v>1</v>
      </c>
      <c r="J170">
        <v>22</v>
      </c>
      <c r="K170" t="s">
        <v>14</v>
      </c>
      <c r="L170" t="str" cm="1">
        <f t="array" ref="L170">_xlfn.IFS(Table1[[#This Row],[Discount Applied]]=TRUE,"Yes",Table1[[#This Row],[Discount Applied]]=FALSE,"No")</f>
        <v>Yes</v>
      </c>
      <c r="M170" t="str" cm="1">
        <f t="array" ref="M170">_xlfn.IFS(Table1[[#This Row],[Age]]&lt;18,"Under 18",Table1[[#This Row],[Age]]&lt;=23,"18-23",Table1[[#This Row],[Age]]&lt;=29,"24-29",Table1[[#This Row],[Age]]&lt;=35,"30-35",Table1[[#This Row],[Age]]&lt;=41,"36-41",Table1[[#This Row],[Age]]&gt;41,"Over 41")</f>
        <v>30-35</v>
      </c>
      <c r="N170" t="str" cm="1">
        <f t="array" ref="N170">_xlfn.IFS(Table1[[#This Row],[Days Since Last Purchase]]&lt;21,"Active",Table1[[#This Row],[Days Since Last Purchase]]&lt;=42,"Moderately Active",Table1[[#This Row],[Days Since Last Purchase]]&gt;=43, "Inactive")</f>
        <v>Moderately Active</v>
      </c>
      <c r="O170">
        <f>IF(K170="Satisfied",1,IF(K170="Neutral",0.5,IF(K170="Unsatisfied",0,IF(Table1[[#This Row],[Satisfaction Level]]="No Response","0"))))</f>
        <v>1</v>
      </c>
    </row>
    <row r="171" spans="1:15" x14ac:dyDescent="0.45">
      <c r="A171">
        <v>270</v>
      </c>
      <c r="B171" t="s">
        <v>15</v>
      </c>
      <c r="C171">
        <v>34</v>
      </c>
      <c r="D171" t="s">
        <v>16</v>
      </c>
      <c r="E171" t="s">
        <v>17</v>
      </c>
      <c r="F171">
        <v>800.2</v>
      </c>
      <c r="G171">
        <v>11</v>
      </c>
      <c r="H171">
        <v>4.0999999999999996</v>
      </c>
      <c r="I171" t="b">
        <v>0</v>
      </c>
      <c r="J171">
        <v>17</v>
      </c>
      <c r="K171" t="s">
        <v>18</v>
      </c>
      <c r="L171" t="str" cm="1">
        <f t="array" ref="L171">_xlfn.IFS(Table1[[#This Row],[Discount Applied]]=TRUE,"Yes",Table1[[#This Row],[Discount Applied]]=FALSE,"No")</f>
        <v>No</v>
      </c>
      <c r="M171" t="str" cm="1">
        <f t="array" ref="M171">_xlfn.IFS(Table1[[#This Row],[Age]]&lt;18,"Under 18",Table1[[#This Row],[Age]]&lt;=23,"18-23",Table1[[#This Row],[Age]]&lt;=29,"24-29",Table1[[#This Row],[Age]]&lt;=35,"30-35",Table1[[#This Row],[Age]]&lt;=41,"36-41",Table1[[#This Row],[Age]]&gt;41,"Over 41")</f>
        <v>30-35</v>
      </c>
      <c r="N171" t="str" cm="1">
        <f t="array" ref="N171">_xlfn.IFS(Table1[[#This Row],[Days Since Last Purchase]]&lt;21,"Active",Table1[[#This Row],[Days Since Last Purchase]]&lt;=42,"Moderately Active",Table1[[#This Row],[Days Since Last Purchase]]&gt;=43, "Inactive")</f>
        <v>Active</v>
      </c>
      <c r="O171">
        <f>IF(K171="Satisfied",1,IF(K171="Neutral",0.5,IF(K171="Unsatisfied",0,IF(Table1[[#This Row],[Satisfaction Level]]="No Response","0"))))</f>
        <v>0.5</v>
      </c>
    </row>
    <row r="172" spans="1:15" x14ac:dyDescent="0.45">
      <c r="A172">
        <v>271</v>
      </c>
      <c r="B172" t="s">
        <v>11</v>
      </c>
      <c r="C172">
        <v>43</v>
      </c>
      <c r="D172" t="s">
        <v>19</v>
      </c>
      <c r="E172" t="s">
        <v>20</v>
      </c>
      <c r="F172">
        <v>500.75</v>
      </c>
      <c r="G172">
        <v>10</v>
      </c>
      <c r="H172">
        <v>3.3</v>
      </c>
      <c r="I172" t="b">
        <v>1</v>
      </c>
      <c r="J172">
        <v>40</v>
      </c>
      <c r="K172" t="s">
        <v>21</v>
      </c>
      <c r="L172" t="str" cm="1">
        <f t="array" ref="L172">_xlfn.IFS(Table1[[#This Row],[Discount Applied]]=TRUE,"Yes",Table1[[#This Row],[Discount Applied]]=FALSE,"No")</f>
        <v>Yes</v>
      </c>
      <c r="M172" t="str" cm="1">
        <f t="array" ref="M172">_xlfn.IFS(Table1[[#This Row],[Age]]&lt;18,"Under 18",Table1[[#This Row],[Age]]&lt;=23,"18-23",Table1[[#This Row],[Age]]&lt;=29,"24-29",Table1[[#This Row],[Age]]&lt;=35,"30-35",Table1[[#This Row],[Age]]&lt;=41,"36-41",Table1[[#This Row],[Age]]&gt;41,"Over 41")</f>
        <v>Over 41</v>
      </c>
      <c r="N172" t="str" cm="1">
        <f t="array" ref="N172">_xlfn.IFS(Table1[[#This Row],[Days Since Last Purchase]]&lt;21,"Active",Table1[[#This Row],[Days Since Last Purchase]]&lt;=42,"Moderately Active",Table1[[#This Row],[Days Since Last Purchase]]&gt;=43, "Inactive")</f>
        <v>Moderately Active</v>
      </c>
      <c r="O172">
        <f>IF(K172="Satisfied",1,IF(K172="Neutral",0.5,IF(K172="Unsatisfied",0,IF(Table1[[#This Row],[Satisfaction Level]]="No Response","0"))))</f>
        <v>0</v>
      </c>
    </row>
    <row r="173" spans="1:15" x14ac:dyDescent="0.45">
      <c r="A173">
        <v>272</v>
      </c>
      <c r="B173" t="s">
        <v>15</v>
      </c>
      <c r="C173">
        <v>30</v>
      </c>
      <c r="D173" t="s">
        <v>22</v>
      </c>
      <c r="E173" t="s">
        <v>13</v>
      </c>
      <c r="F173">
        <v>1460.5</v>
      </c>
      <c r="G173">
        <v>20</v>
      </c>
      <c r="H173">
        <v>4.8</v>
      </c>
      <c r="I173" t="b">
        <v>0</v>
      </c>
      <c r="J173">
        <v>12</v>
      </c>
      <c r="K173" t="s">
        <v>14</v>
      </c>
      <c r="L173" t="str" cm="1">
        <f t="array" ref="L173">_xlfn.IFS(Table1[[#This Row],[Discount Applied]]=TRUE,"Yes",Table1[[#This Row],[Discount Applied]]=FALSE,"No")</f>
        <v>No</v>
      </c>
      <c r="M173" t="str" cm="1">
        <f t="array" ref="M173">_xlfn.IFS(Table1[[#This Row],[Age]]&lt;18,"Under 18",Table1[[#This Row],[Age]]&lt;=23,"18-23",Table1[[#This Row],[Age]]&lt;=29,"24-29",Table1[[#This Row],[Age]]&lt;=35,"30-35",Table1[[#This Row],[Age]]&lt;=41,"36-41",Table1[[#This Row],[Age]]&gt;41,"Over 41")</f>
        <v>30-35</v>
      </c>
      <c r="N173" t="str" cm="1">
        <f t="array" ref="N173">_xlfn.IFS(Table1[[#This Row],[Days Since Last Purchase]]&lt;21,"Active",Table1[[#This Row],[Days Since Last Purchase]]&lt;=42,"Moderately Active",Table1[[#This Row],[Days Since Last Purchase]]&gt;=43, "Inactive")</f>
        <v>Active</v>
      </c>
      <c r="O173">
        <f>IF(K173="Satisfied",1,IF(K173="Neutral",0.5,IF(K173="Unsatisfied",0,IF(Table1[[#This Row],[Satisfaction Level]]="No Response","0"))))</f>
        <v>1</v>
      </c>
    </row>
    <row r="174" spans="1:15" x14ac:dyDescent="0.45">
      <c r="A174">
        <v>273</v>
      </c>
      <c r="B174" t="s">
        <v>15</v>
      </c>
      <c r="C174">
        <v>27</v>
      </c>
      <c r="D174" t="s">
        <v>23</v>
      </c>
      <c r="E174" t="s">
        <v>17</v>
      </c>
      <c r="F174">
        <v>700.4</v>
      </c>
      <c r="G174">
        <v>13</v>
      </c>
      <c r="H174">
        <v>4</v>
      </c>
      <c r="I174" t="b">
        <v>1</v>
      </c>
      <c r="J174">
        <v>53</v>
      </c>
      <c r="K174" t="s">
        <v>21</v>
      </c>
      <c r="L174" t="str" cm="1">
        <f t="array" ref="L174">_xlfn.IFS(Table1[[#This Row],[Discount Applied]]=TRUE,"Yes",Table1[[#This Row],[Discount Applied]]=FALSE,"No")</f>
        <v>Yes</v>
      </c>
      <c r="M174" t="str" cm="1">
        <f t="array" ref="M174">_xlfn.IFS(Table1[[#This Row],[Age]]&lt;18,"Under 18",Table1[[#This Row],[Age]]&lt;=23,"18-23",Table1[[#This Row],[Age]]&lt;=29,"24-29",Table1[[#This Row],[Age]]&lt;=35,"30-35",Table1[[#This Row],[Age]]&lt;=41,"36-41",Table1[[#This Row],[Age]]&gt;41,"Over 41")</f>
        <v>24-29</v>
      </c>
      <c r="N174" t="str" cm="1">
        <f t="array" ref="N174">_xlfn.IFS(Table1[[#This Row],[Days Since Last Purchase]]&lt;21,"Active",Table1[[#This Row],[Days Since Last Purchase]]&lt;=42,"Moderately Active",Table1[[#This Row],[Days Since Last Purchase]]&gt;=43, "Inactive")</f>
        <v>Inactive</v>
      </c>
      <c r="O174">
        <f>IF(K174="Satisfied",1,IF(K174="Neutral",0.5,IF(K174="Unsatisfied",0,IF(Table1[[#This Row],[Satisfaction Level]]="No Response","0"))))</f>
        <v>0</v>
      </c>
    </row>
    <row r="175" spans="1:15" x14ac:dyDescent="0.45">
      <c r="A175">
        <v>274</v>
      </c>
      <c r="B175" t="s">
        <v>11</v>
      </c>
      <c r="C175">
        <v>37</v>
      </c>
      <c r="D175" t="s">
        <v>24</v>
      </c>
      <c r="E175" t="s">
        <v>20</v>
      </c>
      <c r="F175">
        <v>430.8</v>
      </c>
      <c r="G175">
        <v>7</v>
      </c>
      <c r="H175">
        <v>3.4</v>
      </c>
      <c r="I175" t="b">
        <v>0</v>
      </c>
      <c r="J175">
        <v>23</v>
      </c>
      <c r="K175" t="s">
        <v>18</v>
      </c>
      <c r="L175" t="str" cm="1">
        <f t="array" ref="L175">_xlfn.IFS(Table1[[#This Row],[Discount Applied]]=TRUE,"Yes",Table1[[#This Row],[Discount Applied]]=FALSE,"No")</f>
        <v>No</v>
      </c>
      <c r="M175" t="str" cm="1">
        <f t="array" ref="M175">_xlfn.IFS(Table1[[#This Row],[Age]]&lt;18,"Under 18",Table1[[#This Row],[Age]]&lt;=23,"18-23",Table1[[#This Row],[Age]]&lt;=29,"24-29",Table1[[#This Row],[Age]]&lt;=35,"30-35",Table1[[#This Row],[Age]]&lt;=41,"36-41",Table1[[#This Row],[Age]]&gt;41,"Over 41")</f>
        <v>36-41</v>
      </c>
      <c r="N175" t="str" cm="1">
        <f t="array" ref="N175">_xlfn.IFS(Table1[[#This Row],[Days Since Last Purchase]]&lt;21,"Active",Table1[[#This Row],[Days Since Last Purchase]]&lt;=42,"Moderately Active",Table1[[#This Row],[Days Since Last Purchase]]&gt;=43, "Inactive")</f>
        <v>Moderately Active</v>
      </c>
      <c r="O175">
        <f>IF(K175="Satisfied",1,IF(K175="Neutral",0.5,IF(K175="Unsatisfied",0,IF(Table1[[#This Row],[Satisfaction Level]]="No Response","0"))))</f>
        <v>0.5</v>
      </c>
    </row>
    <row r="176" spans="1:15" x14ac:dyDescent="0.45">
      <c r="A176">
        <v>275</v>
      </c>
      <c r="B176" t="s">
        <v>11</v>
      </c>
      <c r="C176">
        <v>31</v>
      </c>
      <c r="D176" t="s">
        <v>12</v>
      </c>
      <c r="E176" t="s">
        <v>13</v>
      </c>
      <c r="F176">
        <v>1140.5999999999999</v>
      </c>
      <c r="G176">
        <v>15</v>
      </c>
      <c r="H176">
        <v>4.5</v>
      </c>
      <c r="I176" t="b">
        <v>1</v>
      </c>
      <c r="J176">
        <v>27</v>
      </c>
      <c r="K176" t="s">
        <v>14</v>
      </c>
      <c r="L176" t="str" cm="1">
        <f t="array" ref="L176">_xlfn.IFS(Table1[[#This Row],[Discount Applied]]=TRUE,"Yes",Table1[[#This Row],[Discount Applied]]=FALSE,"No")</f>
        <v>Yes</v>
      </c>
      <c r="M176" t="str" cm="1">
        <f t="array" ref="M176">_xlfn.IFS(Table1[[#This Row],[Age]]&lt;18,"Under 18",Table1[[#This Row],[Age]]&lt;=23,"18-23",Table1[[#This Row],[Age]]&lt;=29,"24-29",Table1[[#This Row],[Age]]&lt;=35,"30-35",Table1[[#This Row],[Age]]&lt;=41,"36-41",Table1[[#This Row],[Age]]&gt;41,"Over 41")</f>
        <v>30-35</v>
      </c>
      <c r="N176" t="str" cm="1">
        <f t="array" ref="N176">_xlfn.IFS(Table1[[#This Row],[Days Since Last Purchase]]&lt;21,"Active",Table1[[#This Row],[Days Since Last Purchase]]&lt;=42,"Moderately Active",Table1[[#This Row],[Days Since Last Purchase]]&gt;=43, "Inactive")</f>
        <v>Moderately Active</v>
      </c>
      <c r="O176">
        <f>IF(K176="Satisfied",1,IF(K176="Neutral",0.5,IF(K176="Unsatisfied",0,IF(Table1[[#This Row],[Satisfaction Level]]="No Response","0"))))</f>
        <v>1</v>
      </c>
    </row>
    <row r="177" spans="1:15" x14ac:dyDescent="0.45">
      <c r="A177">
        <v>276</v>
      </c>
      <c r="B177" t="s">
        <v>15</v>
      </c>
      <c r="C177">
        <v>35</v>
      </c>
      <c r="D177" t="s">
        <v>16</v>
      </c>
      <c r="E177" t="s">
        <v>17</v>
      </c>
      <c r="F177">
        <v>820.9</v>
      </c>
      <c r="G177">
        <v>12</v>
      </c>
      <c r="H177">
        <v>4.3</v>
      </c>
      <c r="I177" t="b">
        <v>0</v>
      </c>
      <c r="J177">
        <v>12</v>
      </c>
      <c r="K177" t="s">
        <v>18</v>
      </c>
      <c r="L177" t="str" cm="1">
        <f t="array" ref="L177">_xlfn.IFS(Table1[[#This Row],[Discount Applied]]=TRUE,"Yes",Table1[[#This Row],[Discount Applied]]=FALSE,"No")</f>
        <v>No</v>
      </c>
      <c r="M177" t="str" cm="1">
        <f t="array" ref="M177">_xlfn.IFS(Table1[[#This Row],[Age]]&lt;18,"Under 18",Table1[[#This Row],[Age]]&lt;=23,"18-23",Table1[[#This Row],[Age]]&lt;=29,"24-29",Table1[[#This Row],[Age]]&lt;=35,"30-35",Table1[[#This Row],[Age]]&lt;=41,"36-41",Table1[[#This Row],[Age]]&gt;41,"Over 41")</f>
        <v>30-35</v>
      </c>
      <c r="N177" t="str" cm="1">
        <f t="array" ref="N177">_xlfn.IFS(Table1[[#This Row],[Days Since Last Purchase]]&lt;21,"Active",Table1[[#This Row],[Days Since Last Purchase]]&lt;=42,"Moderately Active",Table1[[#This Row],[Days Since Last Purchase]]&gt;=43, "Inactive")</f>
        <v>Active</v>
      </c>
      <c r="O177">
        <f>IF(K177="Satisfied",1,IF(K177="Neutral",0.5,IF(K177="Unsatisfied",0,IF(Table1[[#This Row],[Satisfaction Level]]="No Response","0"))))</f>
        <v>0.5</v>
      </c>
    </row>
    <row r="178" spans="1:15" x14ac:dyDescent="0.45">
      <c r="A178">
        <v>277</v>
      </c>
      <c r="B178" t="s">
        <v>11</v>
      </c>
      <c r="C178">
        <v>41</v>
      </c>
      <c r="D178" t="s">
        <v>19</v>
      </c>
      <c r="E178" t="s">
        <v>20</v>
      </c>
      <c r="F178">
        <v>480.25</v>
      </c>
      <c r="G178">
        <v>9</v>
      </c>
      <c r="H178">
        <v>3.6</v>
      </c>
      <c r="I178" t="b">
        <v>1</v>
      </c>
      <c r="J178">
        <v>38</v>
      </c>
      <c r="K178" t="s">
        <v>21</v>
      </c>
      <c r="L178" t="str" cm="1">
        <f t="array" ref="L178">_xlfn.IFS(Table1[[#This Row],[Discount Applied]]=TRUE,"Yes",Table1[[#This Row],[Discount Applied]]=FALSE,"No")</f>
        <v>Yes</v>
      </c>
      <c r="M178" t="str" cm="1">
        <f t="array" ref="M178">_xlfn.IFS(Table1[[#This Row],[Age]]&lt;18,"Under 18",Table1[[#This Row],[Age]]&lt;=23,"18-23",Table1[[#This Row],[Age]]&lt;=29,"24-29",Table1[[#This Row],[Age]]&lt;=35,"30-35",Table1[[#This Row],[Age]]&lt;=41,"36-41",Table1[[#This Row],[Age]]&gt;41,"Over 41")</f>
        <v>36-41</v>
      </c>
      <c r="N178" t="str" cm="1">
        <f t="array" ref="N178">_xlfn.IFS(Table1[[#This Row],[Days Since Last Purchase]]&lt;21,"Active",Table1[[#This Row],[Days Since Last Purchase]]&lt;=42,"Moderately Active",Table1[[#This Row],[Days Since Last Purchase]]&gt;=43, "Inactive")</f>
        <v>Moderately Active</v>
      </c>
      <c r="O178">
        <f>IF(K178="Satisfied",1,IF(K178="Neutral",0.5,IF(K178="Unsatisfied",0,IF(Table1[[#This Row],[Satisfaction Level]]="No Response","0"))))</f>
        <v>0</v>
      </c>
    </row>
    <row r="179" spans="1:15" x14ac:dyDescent="0.45">
      <c r="A179">
        <v>278</v>
      </c>
      <c r="B179" t="s">
        <v>15</v>
      </c>
      <c r="C179">
        <v>28</v>
      </c>
      <c r="D179" t="s">
        <v>22</v>
      </c>
      <c r="E179" t="s">
        <v>13</v>
      </c>
      <c r="F179">
        <v>1490.1</v>
      </c>
      <c r="G179">
        <v>21</v>
      </c>
      <c r="H179">
        <v>4.9000000000000004</v>
      </c>
      <c r="I179" t="b">
        <v>0</v>
      </c>
      <c r="J179">
        <v>9</v>
      </c>
      <c r="K179" t="s">
        <v>14</v>
      </c>
      <c r="L179" t="str" cm="1">
        <f t="array" ref="L179">_xlfn.IFS(Table1[[#This Row],[Discount Applied]]=TRUE,"Yes",Table1[[#This Row],[Discount Applied]]=FALSE,"No")</f>
        <v>No</v>
      </c>
      <c r="M179" t="str" cm="1">
        <f t="array" ref="M179">_xlfn.IFS(Table1[[#This Row],[Age]]&lt;18,"Under 18",Table1[[#This Row],[Age]]&lt;=23,"18-23",Table1[[#This Row],[Age]]&lt;=29,"24-29",Table1[[#This Row],[Age]]&lt;=35,"30-35",Table1[[#This Row],[Age]]&lt;=41,"36-41",Table1[[#This Row],[Age]]&gt;41,"Over 41")</f>
        <v>24-29</v>
      </c>
      <c r="N179" t="str" cm="1">
        <f t="array" ref="N179">_xlfn.IFS(Table1[[#This Row],[Days Since Last Purchase]]&lt;21,"Active",Table1[[#This Row],[Days Since Last Purchase]]&lt;=42,"Moderately Active",Table1[[#This Row],[Days Since Last Purchase]]&gt;=43, "Inactive")</f>
        <v>Active</v>
      </c>
      <c r="O179">
        <f>IF(K179="Satisfied",1,IF(K179="Neutral",0.5,IF(K179="Unsatisfied",0,IF(Table1[[#This Row],[Satisfaction Level]]="No Response","0"))))</f>
        <v>1</v>
      </c>
    </row>
    <row r="180" spans="1:15" x14ac:dyDescent="0.45">
      <c r="A180">
        <v>279</v>
      </c>
      <c r="B180" t="s">
        <v>15</v>
      </c>
      <c r="C180">
        <v>32</v>
      </c>
      <c r="D180" t="s">
        <v>23</v>
      </c>
      <c r="E180" t="s">
        <v>17</v>
      </c>
      <c r="F180">
        <v>680.3</v>
      </c>
      <c r="G180">
        <v>10</v>
      </c>
      <c r="H180">
        <v>3.8</v>
      </c>
      <c r="I180" t="b">
        <v>1</v>
      </c>
      <c r="J180">
        <v>32</v>
      </c>
      <c r="K180" t="s">
        <v>21</v>
      </c>
      <c r="L180" t="str" cm="1">
        <f t="array" ref="L180">_xlfn.IFS(Table1[[#This Row],[Discount Applied]]=TRUE,"Yes",Table1[[#This Row],[Discount Applied]]=FALSE,"No")</f>
        <v>Yes</v>
      </c>
      <c r="M180" t="str" cm="1">
        <f t="array" ref="M180">_xlfn.IFS(Table1[[#This Row],[Age]]&lt;18,"Under 18",Table1[[#This Row],[Age]]&lt;=23,"18-23",Table1[[#This Row],[Age]]&lt;=29,"24-29",Table1[[#This Row],[Age]]&lt;=35,"30-35",Table1[[#This Row],[Age]]&lt;=41,"36-41",Table1[[#This Row],[Age]]&gt;41,"Over 41")</f>
        <v>30-35</v>
      </c>
      <c r="N180" t="str" cm="1">
        <f t="array" ref="N180">_xlfn.IFS(Table1[[#This Row],[Days Since Last Purchase]]&lt;21,"Active",Table1[[#This Row],[Days Since Last Purchase]]&lt;=42,"Moderately Active",Table1[[#This Row],[Days Since Last Purchase]]&gt;=43, "Inactive")</f>
        <v>Moderately Active</v>
      </c>
      <c r="O180">
        <f>IF(K180="Satisfied",1,IF(K180="Neutral",0.5,IF(K180="Unsatisfied",0,IF(Table1[[#This Row],[Satisfaction Level]]="No Response","0"))))</f>
        <v>0</v>
      </c>
    </row>
    <row r="181" spans="1:15" x14ac:dyDescent="0.45">
      <c r="A181">
        <v>280</v>
      </c>
      <c r="B181" t="s">
        <v>11</v>
      </c>
      <c r="C181">
        <v>36</v>
      </c>
      <c r="D181" t="s">
        <v>24</v>
      </c>
      <c r="E181" t="s">
        <v>20</v>
      </c>
      <c r="F181">
        <v>470.5</v>
      </c>
      <c r="G181">
        <v>8</v>
      </c>
      <c r="H181">
        <v>3</v>
      </c>
      <c r="I181" t="b">
        <v>0</v>
      </c>
      <c r="J181">
        <v>18</v>
      </c>
      <c r="K181" t="s">
        <v>18</v>
      </c>
      <c r="L181" t="str" cm="1">
        <f t="array" ref="L181">_xlfn.IFS(Table1[[#This Row],[Discount Applied]]=TRUE,"Yes",Table1[[#This Row],[Discount Applied]]=FALSE,"No")</f>
        <v>No</v>
      </c>
      <c r="M181" t="str" cm="1">
        <f t="array" ref="M181">_xlfn.IFS(Table1[[#This Row],[Age]]&lt;18,"Under 18",Table1[[#This Row],[Age]]&lt;=23,"18-23",Table1[[#This Row],[Age]]&lt;=29,"24-29",Table1[[#This Row],[Age]]&lt;=35,"30-35",Table1[[#This Row],[Age]]&lt;=41,"36-41",Table1[[#This Row],[Age]]&gt;41,"Over 41")</f>
        <v>36-41</v>
      </c>
      <c r="N181" t="str" cm="1">
        <f t="array" ref="N181">_xlfn.IFS(Table1[[#This Row],[Days Since Last Purchase]]&lt;21,"Active",Table1[[#This Row],[Days Since Last Purchase]]&lt;=42,"Moderately Active",Table1[[#This Row],[Days Since Last Purchase]]&gt;=43, "Inactive")</f>
        <v>Active</v>
      </c>
      <c r="O181">
        <f>IF(K181="Satisfied",1,IF(K181="Neutral",0.5,IF(K181="Unsatisfied",0,IF(Table1[[#This Row],[Satisfaction Level]]="No Response","0"))))</f>
        <v>0.5</v>
      </c>
    </row>
    <row r="182" spans="1:15" x14ac:dyDescent="0.45">
      <c r="A182">
        <v>281</v>
      </c>
      <c r="B182" t="s">
        <v>11</v>
      </c>
      <c r="C182">
        <v>30</v>
      </c>
      <c r="D182" t="s">
        <v>12</v>
      </c>
      <c r="E182" t="s">
        <v>13</v>
      </c>
      <c r="F182">
        <v>1180.8</v>
      </c>
      <c r="G182">
        <v>16</v>
      </c>
      <c r="H182">
        <v>4.7</v>
      </c>
      <c r="I182" t="b">
        <v>1</v>
      </c>
      <c r="J182">
        <v>19</v>
      </c>
      <c r="K182" t="s">
        <v>14</v>
      </c>
      <c r="L182" t="str" cm="1">
        <f t="array" ref="L182">_xlfn.IFS(Table1[[#This Row],[Discount Applied]]=TRUE,"Yes",Table1[[#This Row],[Discount Applied]]=FALSE,"No")</f>
        <v>Yes</v>
      </c>
      <c r="M182" t="str" cm="1">
        <f t="array" ref="M182">_xlfn.IFS(Table1[[#This Row],[Age]]&lt;18,"Under 18",Table1[[#This Row],[Age]]&lt;=23,"18-23",Table1[[#This Row],[Age]]&lt;=29,"24-29",Table1[[#This Row],[Age]]&lt;=35,"30-35",Table1[[#This Row],[Age]]&lt;=41,"36-41",Table1[[#This Row],[Age]]&gt;41,"Over 41")</f>
        <v>30-35</v>
      </c>
      <c r="N182" t="str" cm="1">
        <f t="array" ref="N182">_xlfn.IFS(Table1[[#This Row],[Days Since Last Purchase]]&lt;21,"Active",Table1[[#This Row],[Days Since Last Purchase]]&lt;=42,"Moderately Active",Table1[[#This Row],[Days Since Last Purchase]]&gt;=43, "Inactive")</f>
        <v>Active</v>
      </c>
      <c r="O182">
        <f>IF(K182="Satisfied",1,IF(K182="Neutral",0.5,IF(K182="Unsatisfied",0,IF(Table1[[#This Row],[Satisfaction Level]]="No Response","0"))))</f>
        <v>1</v>
      </c>
    </row>
    <row r="183" spans="1:15" x14ac:dyDescent="0.45">
      <c r="A183">
        <v>282</v>
      </c>
      <c r="B183" t="s">
        <v>15</v>
      </c>
      <c r="C183">
        <v>34</v>
      </c>
      <c r="D183" t="s">
        <v>16</v>
      </c>
      <c r="E183" t="s">
        <v>17</v>
      </c>
      <c r="F183">
        <v>790.2</v>
      </c>
      <c r="G183">
        <v>11</v>
      </c>
      <c r="H183">
        <v>4</v>
      </c>
      <c r="I183" t="b">
        <v>0</v>
      </c>
      <c r="J183">
        <v>15</v>
      </c>
      <c r="K183" t="s">
        <v>18</v>
      </c>
      <c r="L183" t="str" cm="1">
        <f t="array" ref="L183">_xlfn.IFS(Table1[[#This Row],[Discount Applied]]=TRUE,"Yes",Table1[[#This Row],[Discount Applied]]=FALSE,"No")</f>
        <v>No</v>
      </c>
      <c r="M183" t="str" cm="1">
        <f t="array" ref="M183">_xlfn.IFS(Table1[[#This Row],[Age]]&lt;18,"Under 18",Table1[[#This Row],[Age]]&lt;=23,"18-23",Table1[[#This Row],[Age]]&lt;=29,"24-29",Table1[[#This Row],[Age]]&lt;=35,"30-35",Table1[[#This Row],[Age]]&lt;=41,"36-41",Table1[[#This Row],[Age]]&gt;41,"Over 41")</f>
        <v>30-35</v>
      </c>
      <c r="N183" t="str" cm="1">
        <f t="array" ref="N183">_xlfn.IFS(Table1[[#This Row],[Days Since Last Purchase]]&lt;21,"Active",Table1[[#This Row],[Days Since Last Purchase]]&lt;=42,"Moderately Active",Table1[[#This Row],[Days Since Last Purchase]]&gt;=43, "Inactive")</f>
        <v>Active</v>
      </c>
      <c r="O183">
        <f>IF(K183="Satisfied",1,IF(K183="Neutral",0.5,IF(K183="Unsatisfied",0,IF(Table1[[#This Row],[Satisfaction Level]]="No Response","0"))))</f>
        <v>0.5</v>
      </c>
    </row>
    <row r="184" spans="1:15" x14ac:dyDescent="0.45">
      <c r="A184">
        <v>283</v>
      </c>
      <c r="B184" t="s">
        <v>11</v>
      </c>
      <c r="C184">
        <v>43</v>
      </c>
      <c r="D184" t="s">
        <v>19</v>
      </c>
      <c r="E184" t="s">
        <v>20</v>
      </c>
      <c r="F184">
        <v>505.75</v>
      </c>
      <c r="G184">
        <v>10</v>
      </c>
      <c r="H184">
        <v>3.3</v>
      </c>
      <c r="I184" t="b">
        <v>1</v>
      </c>
      <c r="J184">
        <v>39</v>
      </c>
      <c r="K184" t="s">
        <v>21</v>
      </c>
      <c r="L184" t="str" cm="1">
        <f t="array" ref="L184">_xlfn.IFS(Table1[[#This Row],[Discount Applied]]=TRUE,"Yes",Table1[[#This Row],[Discount Applied]]=FALSE,"No")</f>
        <v>Yes</v>
      </c>
      <c r="M184" t="str" cm="1">
        <f t="array" ref="M184">_xlfn.IFS(Table1[[#This Row],[Age]]&lt;18,"Under 18",Table1[[#This Row],[Age]]&lt;=23,"18-23",Table1[[#This Row],[Age]]&lt;=29,"24-29",Table1[[#This Row],[Age]]&lt;=35,"30-35",Table1[[#This Row],[Age]]&lt;=41,"36-41",Table1[[#This Row],[Age]]&gt;41,"Over 41")</f>
        <v>Over 41</v>
      </c>
      <c r="N184" t="str" cm="1">
        <f t="array" ref="N184">_xlfn.IFS(Table1[[#This Row],[Days Since Last Purchase]]&lt;21,"Active",Table1[[#This Row],[Days Since Last Purchase]]&lt;=42,"Moderately Active",Table1[[#This Row],[Days Since Last Purchase]]&gt;=43, "Inactive")</f>
        <v>Moderately Active</v>
      </c>
      <c r="O184">
        <f>IF(K184="Satisfied",1,IF(K184="Neutral",0.5,IF(K184="Unsatisfied",0,IF(Table1[[#This Row],[Satisfaction Level]]="No Response","0"))))</f>
        <v>0</v>
      </c>
    </row>
    <row r="185" spans="1:15" x14ac:dyDescent="0.45">
      <c r="A185">
        <v>284</v>
      </c>
      <c r="B185" t="s">
        <v>15</v>
      </c>
      <c r="C185">
        <v>30</v>
      </c>
      <c r="D185" t="s">
        <v>22</v>
      </c>
      <c r="E185" t="s">
        <v>13</v>
      </c>
      <c r="F185">
        <v>1470.5</v>
      </c>
      <c r="G185">
        <v>20</v>
      </c>
      <c r="H185">
        <v>4.8</v>
      </c>
      <c r="I185" t="b">
        <v>0</v>
      </c>
      <c r="J185">
        <v>13</v>
      </c>
      <c r="K185" t="s">
        <v>14</v>
      </c>
      <c r="L185" t="str" cm="1">
        <f t="array" ref="L185">_xlfn.IFS(Table1[[#This Row],[Discount Applied]]=TRUE,"Yes",Table1[[#This Row],[Discount Applied]]=FALSE,"No")</f>
        <v>No</v>
      </c>
      <c r="M185" t="str" cm="1">
        <f t="array" ref="M185">_xlfn.IFS(Table1[[#This Row],[Age]]&lt;18,"Under 18",Table1[[#This Row],[Age]]&lt;=23,"18-23",Table1[[#This Row],[Age]]&lt;=29,"24-29",Table1[[#This Row],[Age]]&lt;=35,"30-35",Table1[[#This Row],[Age]]&lt;=41,"36-41",Table1[[#This Row],[Age]]&gt;41,"Over 41")</f>
        <v>30-35</v>
      </c>
      <c r="N185" t="str" cm="1">
        <f t="array" ref="N185">_xlfn.IFS(Table1[[#This Row],[Days Since Last Purchase]]&lt;21,"Active",Table1[[#This Row],[Days Since Last Purchase]]&lt;=42,"Moderately Active",Table1[[#This Row],[Days Since Last Purchase]]&gt;=43, "Inactive")</f>
        <v>Active</v>
      </c>
      <c r="O185">
        <f>IF(K185="Satisfied",1,IF(K185="Neutral",0.5,IF(K185="Unsatisfied",0,IF(Table1[[#This Row],[Satisfaction Level]]="No Response","0"))))</f>
        <v>1</v>
      </c>
    </row>
    <row r="186" spans="1:15" x14ac:dyDescent="0.45">
      <c r="A186">
        <v>285</v>
      </c>
      <c r="B186" t="s">
        <v>15</v>
      </c>
      <c r="C186">
        <v>27</v>
      </c>
      <c r="D186" t="s">
        <v>23</v>
      </c>
      <c r="E186" t="s">
        <v>17</v>
      </c>
      <c r="F186">
        <v>710.4</v>
      </c>
      <c r="G186">
        <v>13</v>
      </c>
      <c r="H186">
        <v>4.0999999999999996</v>
      </c>
      <c r="I186" t="b">
        <v>1</v>
      </c>
      <c r="J186">
        <v>54</v>
      </c>
      <c r="K186" t="s">
        <v>21</v>
      </c>
      <c r="L186" t="str" cm="1">
        <f t="array" ref="L186">_xlfn.IFS(Table1[[#This Row],[Discount Applied]]=TRUE,"Yes",Table1[[#This Row],[Discount Applied]]=FALSE,"No")</f>
        <v>Yes</v>
      </c>
      <c r="M186" t="str" cm="1">
        <f t="array" ref="M186">_xlfn.IFS(Table1[[#This Row],[Age]]&lt;18,"Under 18",Table1[[#This Row],[Age]]&lt;=23,"18-23",Table1[[#This Row],[Age]]&lt;=29,"24-29",Table1[[#This Row],[Age]]&lt;=35,"30-35",Table1[[#This Row],[Age]]&lt;=41,"36-41",Table1[[#This Row],[Age]]&gt;41,"Over 41")</f>
        <v>24-29</v>
      </c>
      <c r="N186" t="str" cm="1">
        <f t="array" ref="N186">_xlfn.IFS(Table1[[#This Row],[Days Since Last Purchase]]&lt;21,"Active",Table1[[#This Row],[Days Since Last Purchase]]&lt;=42,"Moderately Active",Table1[[#This Row],[Days Since Last Purchase]]&gt;=43, "Inactive")</f>
        <v>Inactive</v>
      </c>
      <c r="O186">
        <f>IF(K186="Satisfied",1,IF(K186="Neutral",0.5,IF(K186="Unsatisfied",0,IF(Table1[[#This Row],[Satisfaction Level]]="No Response","0"))))</f>
        <v>0</v>
      </c>
    </row>
    <row r="187" spans="1:15" x14ac:dyDescent="0.45">
      <c r="A187">
        <v>286</v>
      </c>
      <c r="B187" t="s">
        <v>11</v>
      </c>
      <c r="C187">
        <v>37</v>
      </c>
      <c r="D187" t="s">
        <v>24</v>
      </c>
      <c r="E187" t="s">
        <v>20</v>
      </c>
      <c r="F187">
        <v>430.8</v>
      </c>
      <c r="G187">
        <v>7</v>
      </c>
      <c r="H187">
        <v>3.4</v>
      </c>
      <c r="I187" t="b">
        <v>0</v>
      </c>
      <c r="J187">
        <v>23</v>
      </c>
      <c r="K187" t="s">
        <v>18</v>
      </c>
      <c r="L187" t="str" cm="1">
        <f t="array" ref="L187">_xlfn.IFS(Table1[[#This Row],[Discount Applied]]=TRUE,"Yes",Table1[[#This Row],[Discount Applied]]=FALSE,"No")</f>
        <v>No</v>
      </c>
      <c r="M187" t="str" cm="1">
        <f t="array" ref="M187">_xlfn.IFS(Table1[[#This Row],[Age]]&lt;18,"Under 18",Table1[[#This Row],[Age]]&lt;=23,"18-23",Table1[[#This Row],[Age]]&lt;=29,"24-29",Table1[[#This Row],[Age]]&lt;=35,"30-35",Table1[[#This Row],[Age]]&lt;=41,"36-41",Table1[[#This Row],[Age]]&gt;41,"Over 41")</f>
        <v>36-41</v>
      </c>
      <c r="N187" t="str" cm="1">
        <f t="array" ref="N187">_xlfn.IFS(Table1[[#This Row],[Days Since Last Purchase]]&lt;21,"Active",Table1[[#This Row],[Days Since Last Purchase]]&lt;=42,"Moderately Active",Table1[[#This Row],[Days Since Last Purchase]]&gt;=43, "Inactive")</f>
        <v>Moderately Active</v>
      </c>
      <c r="O187">
        <f>IF(K187="Satisfied",1,IF(K187="Neutral",0.5,IF(K187="Unsatisfied",0,IF(Table1[[#This Row],[Satisfaction Level]]="No Response","0"))))</f>
        <v>0.5</v>
      </c>
    </row>
    <row r="188" spans="1:15" x14ac:dyDescent="0.45">
      <c r="A188">
        <v>287</v>
      </c>
      <c r="B188" t="s">
        <v>11</v>
      </c>
      <c r="C188">
        <v>31</v>
      </c>
      <c r="D188" t="s">
        <v>12</v>
      </c>
      <c r="E188" t="s">
        <v>13</v>
      </c>
      <c r="F188">
        <v>1130.5999999999999</v>
      </c>
      <c r="G188">
        <v>15</v>
      </c>
      <c r="H188">
        <v>4.5</v>
      </c>
      <c r="I188" t="b">
        <v>1</v>
      </c>
      <c r="J188">
        <v>26</v>
      </c>
      <c r="K188" t="s">
        <v>14</v>
      </c>
      <c r="L188" t="str" cm="1">
        <f t="array" ref="L188">_xlfn.IFS(Table1[[#This Row],[Discount Applied]]=TRUE,"Yes",Table1[[#This Row],[Discount Applied]]=FALSE,"No")</f>
        <v>Yes</v>
      </c>
      <c r="M188" t="str" cm="1">
        <f t="array" ref="M188">_xlfn.IFS(Table1[[#This Row],[Age]]&lt;18,"Under 18",Table1[[#This Row],[Age]]&lt;=23,"18-23",Table1[[#This Row],[Age]]&lt;=29,"24-29",Table1[[#This Row],[Age]]&lt;=35,"30-35",Table1[[#This Row],[Age]]&lt;=41,"36-41",Table1[[#This Row],[Age]]&gt;41,"Over 41")</f>
        <v>30-35</v>
      </c>
      <c r="N188" t="str" cm="1">
        <f t="array" ref="N188">_xlfn.IFS(Table1[[#This Row],[Days Since Last Purchase]]&lt;21,"Active",Table1[[#This Row],[Days Since Last Purchase]]&lt;=42,"Moderately Active",Table1[[#This Row],[Days Since Last Purchase]]&gt;=43, "Inactive")</f>
        <v>Moderately Active</v>
      </c>
      <c r="O188">
        <f>IF(K188="Satisfied",1,IF(K188="Neutral",0.5,IF(K188="Unsatisfied",0,IF(Table1[[#This Row],[Satisfaction Level]]="No Response","0"))))</f>
        <v>1</v>
      </c>
    </row>
    <row r="189" spans="1:15" x14ac:dyDescent="0.45">
      <c r="A189">
        <v>288</v>
      </c>
      <c r="B189" t="s">
        <v>15</v>
      </c>
      <c r="C189">
        <v>35</v>
      </c>
      <c r="D189" t="s">
        <v>16</v>
      </c>
      <c r="E189" t="s">
        <v>17</v>
      </c>
      <c r="F189">
        <v>820.9</v>
      </c>
      <c r="G189">
        <v>12</v>
      </c>
      <c r="H189">
        <v>4.3</v>
      </c>
      <c r="I189" t="b">
        <v>0</v>
      </c>
      <c r="J189">
        <v>13</v>
      </c>
      <c r="K189" t="s">
        <v>18</v>
      </c>
      <c r="L189" t="str" cm="1">
        <f t="array" ref="L189">_xlfn.IFS(Table1[[#This Row],[Discount Applied]]=TRUE,"Yes",Table1[[#This Row],[Discount Applied]]=FALSE,"No")</f>
        <v>No</v>
      </c>
      <c r="M189" t="str" cm="1">
        <f t="array" ref="M189">_xlfn.IFS(Table1[[#This Row],[Age]]&lt;18,"Under 18",Table1[[#This Row],[Age]]&lt;=23,"18-23",Table1[[#This Row],[Age]]&lt;=29,"24-29",Table1[[#This Row],[Age]]&lt;=35,"30-35",Table1[[#This Row],[Age]]&lt;=41,"36-41",Table1[[#This Row],[Age]]&gt;41,"Over 41")</f>
        <v>30-35</v>
      </c>
      <c r="N189" t="str" cm="1">
        <f t="array" ref="N189">_xlfn.IFS(Table1[[#This Row],[Days Since Last Purchase]]&lt;21,"Active",Table1[[#This Row],[Days Since Last Purchase]]&lt;=42,"Moderately Active",Table1[[#This Row],[Days Since Last Purchase]]&gt;=43, "Inactive")</f>
        <v>Active</v>
      </c>
      <c r="O189">
        <f>IF(K189="Satisfied",1,IF(K189="Neutral",0.5,IF(K189="Unsatisfied",0,IF(Table1[[#This Row],[Satisfaction Level]]="No Response","0"))))</f>
        <v>0.5</v>
      </c>
    </row>
    <row r="190" spans="1:15" x14ac:dyDescent="0.45">
      <c r="A190">
        <v>289</v>
      </c>
      <c r="B190" t="s">
        <v>11</v>
      </c>
      <c r="C190">
        <v>41</v>
      </c>
      <c r="D190" t="s">
        <v>19</v>
      </c>
      <c r="E190" t="s">
        <v>20</v>
      </c>
      <c r="F190">
        <v>485.25</v>
      </c>
      <c r="G190">
        <v>9</v>
      </c>
      <c r="H190">
        <v>3.6</v>
      </c>
      <c r="I190" t="b">
        <v>1</v>
      </c>
      <c r="J190">
        <v>39</v>
      </c>
      <c r="K190" t="s">
        <v>21</v>
      </c>
      <c r="L190" t="str" cm="1">
        <f t="array" ref="L190">_xlfn.IFS(Table1[[#This Row],[Discount Applied]]=TRUE,"Yes",Table1[[#This Row],[Discount Applied]]=FALSE,"No")</f>
        <v>Yes</v>
      </c>
      <c r="M190" t="str" cm="1">
        <f t="array" ref="M190">_xlfn.IFS(Table1[[#This Row],[Age]]&lt;18,"Under 18",Table1[[#This Row],[Age]]&lt;=23,"18-23",Table1[[#This Row],[Age]]&lt;=29,"24-29",Table1[[#This Row],[Age]]&lt;=35,"30-35",Table1[[#This Row],[Age]]&lt;=41,"36-41",Table1[[#This Row],[Age]]&gt;41,"Over 41")</f>
        <v>36-41</v>
      </c>
      <c r="N190" t="str" cm="1">
        <f t="array" ref="N190">_xlfn.IFS(Table1[[#This Row],[Days Since Last Purchase]]&lt;21,"Active",Table1[[#This Row],[Days Since Last Purchase]]&lt;=42,"Moderately Active",Table1[[#This Row],[Days Since Last Purchase]]&gt;=43, "Inactive")</f>
        <v>Moderately Active</v>
      </c>
      <c r="O190">
        <f>IF(K190="Satisfied",1,IF(K190="Neutral",0.5,IF(K190="Unsatisfied",0,IF(Table1[[#This Row],[Satisfaction Level]]="No Response","0"))))</f>
        <v>0</v>
      </c>
    </row>
    <row r="191" spans="1:15" x14ac:dyDescent="0.45">
      <c r="A191">
        <v>290</v>
      </c>
      <c r="B191" t="s">
        <v>15</v>
      </c>
      <c r="C191">
        <v>28</v>
      </c>
      <c r="D191" t="s">
        <v>22</v>
      </c>
      <c r="E191" t="s">
        <v>13</v>
      </c>
      <c r="F191">
        <v>1500.1</v>
      </c>
      <c r="G191">
        <v>21</v>
      </c>
      <c r="H191">
        <v>4.9000000000000004</v>
      </c>
      <c r="I191" t="b">
        <v>0</v>
      </c>
      <c r="J191">
        <v>10</v>
      </c>
      <c r="K191" t="s">
        <v>14</v>
      </c>
      <c r="L191" t="str" cm="1">
        <f t="array" ref="L191">_xlfn.IFS(Table1[[#This Row],[Discount Applied]]=TRUE,"Yes",Table1[[#This Row],[Discount Applied]]=FALSE,"No")</f>
        <v>No</v>
      </c>
      <c r="M191" t="str" cm="1">
        <f t="array" ref="M191">_xlfn.IFS(Table1[[#This Row],[Age]]&lt;18,"Under 18",Table1[[#This Row],[Age]]&lt;=23,"18-23",Table1[[#This Row],[Age]]&lt;=29,"24-29",Table1[[#This Row],[Age]]&lt;=35,"30-35",Table1[[#This Row],[Age]]&lt;=41,"36-41",Table1[[#This Row],[Age]]&gt;41,"Over 41")</f>
        <v>24-29</v>
      </c>
      <c r="N191" t="str" cm="1">
        <f t="array" ref="N191">_xlfn.IFS(Table1[[#This Row],[Days Since Last Purchase]]&lt;21,"Active",Table1[[#This Row],[Days Since Last Purchase]]&lt;=42,"Moderately Active",Table1[[#This Row],[Days Since Last Purchase]]&gt;=43, "Inactive")</f>
        <v>Active</v>
      </c>
      <c r="O191">
        <f>IF(K191="Satisfied",1,IF(K191="Neutral",0.5,IF(K191="Unsatisfied",0,IF(Table1[[#This Row],[Satisfaction Level]]="No Response","0"))))</f>
        <v>1</v>
      </c>
    </row>
    <row r="192" spans="1:15" x14ac:dyDescent="0.45">
      <c r="A192">
        <v>291</v>
      </c>
      <c r="B192" t="s">
        <v>15</v>
      </c>
      <c r="C192">
        <v>32</v>
      </c>
      <c r="D192" t="s">
        <v>23</v>
      </c>
      <c r="E192" t="s">
        <v>17</v>
      </c>
      <c r="F192">
        <v>670.3</v>
      </c>
      <c r="G192">
        <v>10</v>
      </c>
      <c r="H192">
        <v>3.8</v>
      </c>
      <c r="I192" t="b">
        <v>1</v>
      </c>
      <c r="J192">
        <v>33</v>
      </c>
      <c r="K192" t="s">
        <v>21</v>
      </c>
      <c r="L192" t="str" cm="1">
        <f t="array" ref="L192">_xlfn.IFS(Table1[[#This Row],[Discount Applied]]=TRUE,"Yes",Table1[[#This Row],[Discount Applied]]=FALSE,"No")</f>
        <v>Yes</v>
      </c>
      <c r="M192" t="str" cm="1">
        <f t="array" ref="M192">_xlfn.IFS(Table1[[#This Row],[Age]]&lt;18,"Under 18",Table1[[#This Row],[Age]]&lt;=23,"18-23",Table1[[#This Row],[Age]]&lt;=29,"24-29",Table1[[#This Row],[Age]]&lt;=35,"30-35",Table1[[#This Row],[Age]]&lt;=41,"36-41",Table1[[#This Row],[Age]]&gt;41,"Over 41")</f>
        <v>30-35</v>
      </c>
      <c r="N192" t="str" cm="1">
        <f t="array" ref="N192">_xlfn.IFS(Table1[[#This Row],[Days Since Last Purchase]]&lt;21,"Active",Table1[[#This Row],[Days Since Last Purchase]]&lt;=42,"Moderately Active",Table1[[#This Row],[Days Since Last Purchase]]&gt;=43, "Inactive")</f>
        <v>Moderately Active</v>
      </c>
      <c r="O192">
        <f>IF(K192="Satisfied",1,IF(K192="Neutral",0.5,IF(K192="Unsatisfied",0,IF(Table1[[#This Row],[Satisfaction Level]]="No Response","0"))))</f>
        <v>0</v>
      </c>
    </row>
    <row r="193" spans="1:15" x14ac:dyDescent="0.45">
      <c r="A193">
        <v>292</v>
      </c>
      <c r="B193" t="s">
        <v>11</v>
      </c>
      <c r="C193">
        <v>36</v>
      </c>
      <c r="D193" t="s">
        <v>24</v>
      </c>
      <c r="E193" t="s">
        <v>20</v>
      </c>
      <c r="F193">
        <v>460.5</v>
      </c>
      <c r="G193">
        <v>8</v>
      </c>
      <c r="H193">
        <v>3.1</v>
      </c>
      <c r="I193" t="b">
        <v>0</v>
      </c>
      <c r="J193">
        <v>19</v>
      </c>
      <c r="K193" t="s">
        <v>18</v>
      </c>
      <c r="L193" t="str" cm="1">
        <f t="array" ref="L193">_xlfn.IFS(Table1[[#This Row],[Discount Applied]]=TRUE,"Yes",Table1[[#This Row],[Discount Applied]]=FALSE,"No")</f>
        <v>No</v>
      </c>
      <c r="M193" t="str" cm="1">
        <f t="array" ref="M193">_xlfn.IFS(Table1[[#This Row],[Age]]&lt;18,"Under 18",Table1[[#This Row],[Age]]&lt;=23,"18-23",Table1[[#This Row],[Age]]&lt;=29,"24-29",Table1[[#This Row],[Age]]&lt;=35,"30-35",Table1[[#This Row],[Age]]&lt;=41,"36-41",Table1[[#This Row],[Age]]&gt;41,"Over 41")</f>
        <v>36-41</v>
      </c>
      <c r="N193" t="str" cm="1">
        <f t="array" ref="N193">_xlfn.IFS(Table1[[#This Row],[Days Since Last Purchase]]&lt;21,"Active",Table1[[#This Row],[Days Since Last Purchase]]&lt;=42,"Moderately Active",Table1[[#This Row],[Days Since Last Purchase]]&gt;=43, "Inactive")</f>
        <v>Active</v>
      </c>
      <c r="O193">
        <f>IF(K193="Satisfied",1,IF(K193="Neutral",0.5,IF(K193="Unsatisfied",0,IF(Table1[[#This Row],[Satisfaction Level]]="No Response","0"))))</f>
        <v>0.5</v>
      </c>
    </row>
    <row r="194" spans="1:15" x14ac:dyDescent="0.45">
      <c r="A194">
        <v>293</v>
      </c>
      <c r="B194" t="s">
        <v>11</v>
      </c>
      <c r="C194">
        <v>30</v>
      </c>
      <c r="D194" t="s">
        <v>12</v>
      </c>
      <c r="E194" t="s">
        <v>13</v>
      </c>
      <c r="F194">
        <v>1190.8</v>
      </c>
      <c r="G194">
        <v>16</v>
      </c>
      <c r="H194">
        <v>4.5</v>
      </c>
      <c r="I194" t="b">
        <v>1</v>
      </c>
      <c r="J194">
        <v>20</v>
      </c>
      <c r="K194" t="s">
        <v>14</v>
      </c>
      <c r="L194" t="str" cm="1">
        <f t="array" ref="L194">_xlfn.IFS(Table1[[#This Row],[Discount Applied]]=TRUE,"Yes",Table1[[#This Row],[Discount Applied]]=FALSE,"No")</f>
        <v>Yes</v>
      </c>
      <c r="M194" t="str" cm="1">
        <f t="array" ref="M194">_xlfn.IFS(Table1[[#This Row],[Age]]&lt;18,"Under 18",Table1[[#This Row],[Age]]&lt;=23,"18-23",Table1[[#This Row],[Age]]&lt;=29,"24-29",Table1[[#This Row],[Age]]&lt;=35,"30-35",Table1[[#This Row],[Age]]&lt;=41,"36-41",Table1[[#This Row],[Age]]&gt;41,"Over 41")</f>
        <v>30-35</v>
      </c>
      <c r="N194" t="str" cm="1">
        <f t="array" ref="N194">_xlfn.IFS(Table1[[#This Row],[Days Since Last Purchase]]&lt;21,"Active",Table1[[#This Row],[Days Since Last Purchase]]&lt;=42,"Moderately Active",Table1[[#This Row],[Days Since Last Purchase]]&gt;=43, "Inactive")</f>
        <v>Active</v>
      </c>
      <c r="O194">
        <f>IF(K194="Satisfied",1,IF(K194="Neutral",0.5,IF(K194="Unsatisfied",0,IF(Table1[[#This Row],[Satisfaction Level]]="No Response","0"))))</f>
        <v>1</v>
      </c>
    </row>
    <row r="195" spans="1:15" x14ac:dyDescent="0.45">
      <c r="A195">
        <v>294</v>
      </c>
      <c r="B195" t="s">
        <v>15</v>
      </c>
      <c r="C195">
        <v>33</v>
      </c>
      <c r="D195" t="s">
        <v>16</v>
      </c>
      <c r="E195" t="s">
        <v>17</v>
      </c>
      <c r="F195">
        <v>830.75</v>
      </c>
      <c r="G195">
        <v>13</v>
      </c>
      <c r="H195">
        <v>4.2</v>
      </c>
      <c r="I195" t="b">
        <v>0</v>
      </c>
      <c r="J195">
        <v>14</v>
      </c>
      <c r="K195" t="s">
        <v>14</v>
      </c>
      <c r="L195" t="str" cm="1">
        <f t="array" ref="L195">_xlfn.IFS(Table1[[#This Row],[Discount Applied]]=TRUE,"Yes",Table1[[#This Row],[Discount Applied]]=FALSE,"No")</f>
        <v>No</v>
      </c>
      <c r="M195" t="str" cm="1">
        <f t="array" ref="M195">_xlfn.IFS(Table1[[#This Row],[Age]]&lt;18,"Under 18",Table1[[#This Row],[Age]]&lt;=23,"18-23",Table1[[#This Row],[Age]]&lt;=29,"24-29",Table1[[#This Row],[Age]]&lt;=35,"30-35",Table1[[#This Row],[Age]]&lt;=41,"36-41",Table1[[#This Row],[Age]]&gt;41,"Over 41")</f>
        <v>30-35</v>
      </c>
      <c r="N195" t="str" cm="1">
        <f t="array" ref="N195">_xlfn.IFS(Table1[[#This Row],[Days Since Last Purchase]]&lt;21,"Active",Table1[[#This Row],[Days Since Last Purchase]]&lt;=42,"Moderately Active",Table1[[#This Row],[Days Since Last Purchase]]&gt;=43, "Inactive")</f>
        <v>Active</v>
      </c>
      <c r="O195">
        <f>IF(K195="Satisfied",1,IF(K195="Neutral",0.5,IF(K195="Unsatisfied",0,IF(Table1[[#This Row],[Satisfaction Level]]="No Response","0"))))</f>
        <v>1</v>
      </c>
    </row>
    <row r="196" spans="1:15" x14ac:dyDescent="0.45">
      <c r="A196">
        <v>295</v>
      </c>
      <c r="B196" t="s">
        <v>11</v>
      </c>
      <c r="C196">
        <v>42</v>
      </c>
      <c r="D196" t="s">
        <v>19</v>
      </c>
      <c r="E196" t="s">
        <v>20</v>
      </c>
      <c r="F196">
        <v>520.4</v>
      </c>
      <c r="G196">
        <v>9</v>
      </c>
      <c r="H196">
        <v>3.5</v>
      </c>
      <c r="I196" t="b">
        <v>1</v>
      </c>
      <c r="J196">
        <v>37</v>
      </c>
      <c r="K196" t="s">
        <v>21</v>
      </c>
      <c r="L196" t="str" cm="1">
        <f t="array" ref="L196">_xlfn.IFS(Table1[[#This Row],[Discount Applied]]=TRUE,"Yes",Table1[[#This Row],[Discount Applied]]=FALSE,"No")</f>
        <v>Yes</v>
      </c>
      <c r="M196" t="str" cm="1">
        <f t="array" ref="M196">_xlfn.IFS(Table1[[#This Row],[Age]]&lt;18,"Under 18",Table1[[#This Row],[Age]]&lt;=23,"18-23",Table1[[#This Row],[Age]]&lt;=29,"24-29",Table1[[#This Row],[Age]]&lt;=35,"30-35",Table1[[#This Row],[Age]]&lt;=41,"36-41",Table1[[#This Row],[Age]]&gt;41,"Over 41")</f>
        <v>Over 41</v>
      </c>
      <c r="N196" t="str" cm="1">
        <f t="array" ref="N196">_xlfn.IFS(Table1[[#This Row],[Days Since Last Purchase]]&lt;21,"Active",Table1[[#This Row],[Days Since Last Purchase]]&lt;=42,"Moderately Active",Table1[[#This Row],[Days Since Last Purchase]]&gt;=43, "Inactive")</f>
        <v>Moderately Active</v>
      </c>
      <c r="O196">
        <f>IF(K196="Satisfied",1,IF(K196="Neutral",0.5,IF(K196="Unsatisfied",0,IF(Table1[[#This Row],[Satisfaction Level]]="No Response","0"))))</f>
        <v>0</v>
      </c>
    </row>
    <row r="197" spans="1:15" x14ac:dyDescent="0.45">
      <c r="A197">
        <v>296</v>
      </c>
      <c r="B197" t="s">
        <v>15</v>
      </c>
      <c r="C197">
        <v>29</v>
      </c>
      <c r="D197" t="s">
        <v>22</v>
      </c>
      <c r="E197" t="s">
        <v>13</v>
      </c>
      <c r="F197">
        <v>1370.2</v>
      </c>
      <c r="G197">
        <v>18</v>
      </c>
      <c r="H197">
        <v>4.7</v>
      </c>
      <c r="I197" t="b">
        <v>0</v>
      </c>
      <c r="J197">
        <v>10</v>
      </c>
      <c r="K197" t="s">
        <v>14</v>
      </c>
      <c r="L197" t="str" cm="1">
        <f t="array" ref="L197">_xlfn.IFS(Table1[[#This Row],[Discount Applied]]=TRUE,"Yes",Table1[[#This Row],[Discount Applied]]=FALSE,"No")</f>
        <v>No</v>
      </c>
      <c r="M197" t="str" cm="1">
        <f t="array" ref="M197">_xlfn.IFS(Table1[[#This Row],[Age]]&lt;18,"Under 18",Table1[[#This Row],[Age]]&lt;=23,"18-23",Table1[[#This Row],[Age]]&lt;=29,"24-29",Table1[[#This Row],[Age]]&lt;=35,"30-35",Table1[[#This Row],[Age]]&lt;=41,"36-41",Table1[[#This Row],[Age]]&gt;41,"Over 41")</f>
        <v>24-29</v>
      </c>
      <c r="N197" t="str" cm="1">
        <f t="array" ref="N197">_xlfn.IFS(Table1[[#This Row],[Days Since Last Purchase]]&lt;21,"Active",Table1[[#This Row],[Days Since Last Purchase]]&lt;=42,"Moderately Active",Table1[[#This Row],[Days Since Last Purchase]]&gt;=43, "Inactive")</f>
        <v>Active</v>
      </c>
      <c r="O197">
        <f>IF(K197="Satisfied",1,IF(K197="Neutral",0.5,IF(K197="Unsatisfied",0,IF(Table1[[#This Row],[Satisfaction Level]]="No Response","0"))))</f>
        <v>1</v>
      </c>
    </row>
    <row r="198" spans="1:15" x14ac:dyDescent="0.45">
      <c r="A198">
        <v>297</v>
      </c>
      <c r="B198" t="s">
        <v>15</v>
      </c>
      <c r="C198">
        <v>26</v>
      </c>
      <c r="D198" t="s">
        <v>23</v>
      </c>
      <c r="E198" t="s">
        <v>17</v>
      </c>
      <c r="F198">
        <v>690.6</v>
      </c>
      <c r="G198">
        <v>12</v>
      </c>
      <c r="H198">
        <v>3.9</v>
      </c>
      <c r="I198" t="b">
        <v>1</v>
      </c>
      <c r="J198">
        <v>47</v>
      </c>
      <c r="K198" t="s">
        <v>21</v>
      </c>
      <c r="L198" t="str" cm="1">
        <f t="array" ref="L198">_xlfn.IFS(Table1[[#This Row],[Discount Applied]]=TRUE,"Yes",Table1[[#This Row],[Discount Applied]]=FALSE,"No")</f>
        <v>Yes</v>
      </c>
      <c r="M198" t="str" cm="1">
        <f t="array" ref="M198">_xlfn.IFS(Table1[[#This Row],[Age]]&lt;18,"Under 18",Table1[[#This Row],[Age]]&lt;=23,"18-23",Table1[[#This Row],[Age]]&lt;=29,"24-29",Table1[[#This Row],[Age]]&lt;=35,"30-35",Table1[[#This Row],[Age]]&lt;=41,"36-41",Table1[[#This Row],[Age]]&gt;41,"Over 41")</f>
        <v>24-29</v>
      </c>
      <c r="N198" t="str" cm="1">
        <f t="array" ref="N198">_xlfn.IFS(Table1[[#This Row],[Days Since Last Purchase]]&lt;21,"Active",Table1[[#This Row],[Days Since Last Purchase]]&lt;=42,"Moderately Active",Table1[[#This Row],[Days Since Last Purchase]]&gt;=43, "Inactive")</f>
        <v>Inactive</v>
      </c>
      <c r="O198">
        <f>IF(K198="Satisfied",1,IF(K198="Neutral",0.5,IF(K198="Unsatisfied",0,IF(Table1[[#This Row],[Satisfaction Level]]="No Response","0"))))</f>
        <v>0</v>
      </c>
    </row>
    <row r="199" spans="1:15" x14ac:dyDescent="0.45">
      <c r="A199">
        <v>298</v>
      </c>
      <c r="B199" t="s">
        <v>11</v>
      </c>
      <c r="C199">
        <v>38</v>
      </c>
      <c r="D199" t="s">
        <v>24</v>
      </c>
      <c r="E199" t="s">
        <v>20</v>
      </c>
      <c r="F199">
        <v>440.9</v>
      </c>
      <c r="G199">
        <v>8</v>
      </c>
      <c r="H199">
        <v>3.2</v>
      </c>
      <c r="I199" t="b">
        <v>0</v>
      </c>
      <c r="J199">
        <v>24</v>
      </c>
      <c r="K199" t="s">
        <v>18</v>
      </c>
      <c r="L199" t="str" cm="1">
        <f t="array" ref="L199">_xlfn.IFS(Table1[[#This Row],[Discount Applied]]=TRUE,"Yes",Table1[[#This Row],[Discount Applied]]=FALSE,"No")</f>
        <v>No</v>
      </c>
      <c r="M199" t="str" cm="1">
        <f t="array" ref="M199">_xlfn.IFS(Table1[[#This Row],[Age]]&lt;18,"Under 18",Table1[[#This Row],[Age]]&lt;=23,"18-23",Table1[[#This Row],[Age]]&lt;=29,"24-29",Table1[[#This Row],[Age]]&lt;=35,"30-35",Table1[[#This Row],[Age]]&lt;=41,"36-41",Table1[[#This Row],[Age]]&gt;41,"Over 41")</f>
        <v>36-41</v>
      </c>
      <c r="N199" t="str" cm="1">
        <f t="array" ref="N199">_xlfn.IFS(Table1[[#This Row],[Days Since Last Purchase]]&lt;21,"Active",Table1[[#This Row],[Days Since Last Purchase]]&lt;=42,"Moderately Active",Table1[[#This Row],[Days Since Last Purchase]]&gt;=43, "Inactive")</f>
        <v>Moderately Active</v>
      </c>
      <c r="O199">
        <f>IF(K199="Satisfied",1,IF(K199="Neutral",0.5,IF(K199="Unsatisfied",0,IF(Table1[[#This Row],[Satisfaction Level]]="No Response","0"))))</f>
        <v>0.5</v>
      </c>
    </row>
    <row r="200" spans="1:15" x14ac:dyDescent="0.45">
      <c r="A200">
        <v>299</v>
      </c>
      <c r="B200" t="s">
        <v>11</v>
      </c>
      <c r="C200">
        <v>32</v>
      </c>
      <c r="D200" t="s">
        <v>12</v>
      </c>
      <c r="E200" t="s">
        <v>13</v>
      </c>
      <c r="F200">
        <v>1160.3</v>
      </c>
      <c r="G200">
        <v>14</v>
      </c>
      <c r="H200">
        <v>4.4000000000000004</v>
      </c>
      <c r="I200" t="b">
        <v>1</v>
      </c>
      <c r="J200">
        <v>22</v>
      </c>
      <c r="K200" t="s">
        <v>14</v>
      </c>
      <c r="L200" t="str" cm="1">
        <f t="array" ref="L200">_xlfn.IFS(Table1[[#This Row],[Discount Applied]]=TRUE,"Yes",Table1[[#This Row],[Discount Applied]]=FALSE,"No")</f>
        <v>Yes</v>
      </c>
      <c r="M200" t="str" cm="1">
        <f t="array" ref="M200">_xlfn.IFS(Table1[[#This Row],[Age]]&lt;18,"Under 18",Table1[[#This Row],[Age]]&lt;=23,"18-23",Table1[[#This Row],[Age]]&lt;=29,"24-29",Table1[[#This Row],[Age]]&lt;=35,"30-35",Table1[[#This Row],[Age]]&lt;=41,"36-41",Table1[[#This Row],[Age]]&gt;41,"Over 41")</f>
        <v>30-35</v>
      </c>
      <c r="N200" t="str" cm="1">
        <f t="array" ref="N200">_xlfn.IFS(Table1[[#This Row],[Days Since Last Purchase]]&lt;21,"Active",Table1[[#This Row],[Days Since Last Purchase]]&lt;=42,"Moderately Active",Table1[[#This Row],[Days Since Last Purchase]]&gt;=43, "Inactive")</f>
        <v>Moderately Active</v>
      </c>
      <c r="O200">
        <f>IF(K200="Satisfied",1,IF(K200="Neutral",0.5,IF(K200="Unsatisfied",0,IF(Table1[[#This Row],[Satisfaction Level]]="No Response","0"))))</f>
        <v>1</v>
      </c>
    </row>
    <row r="201" spans="1:15" x14ac:dyDescent="0.45">
      <c r="A201">
        <v>300</v>
      </c>
      <c r="B201" t="s">
        <v>15</v>
      </c>
      <c r="C201">
        <v>34</v>
      </c>
      <c r="D201" t="s">
        <v>16</v>
      </c>
      <c r="E201" t="s">
        <v>17</v>
      </c>
      <c r="F201">
        <v>800.2</v>
      </c>
      <c r="G201">
        <v>11</v>
      </c>
      <c r="H201">
        <v>4.0999999999999996</v>
      </c>
      <c r="I201" t="b">
        <v>0</v>
      </c>
      <c r="J201">
        <v>17</v>
      </c>
      <c r="K201" t="s">
        <v>18</v>
      </c>
      <c r="L201" t="str" cm="1">
        <f t="array" ref="L201">_xlfn.IFS(Table1[[#This Row],[Discount Applied]]=TRUE,"Yes",Table1[[#This Row],[Discount Applied]]=FALSE,"No")</f>
        <v>No</v>
      </c>
      <c r="M201" t="str" cm="1">
        <f t="array" ref="M201">_xlfn.IFS(Table1[[#This Row],[Age]]&lt;18,"Under 18",Table1[[#This Row],[Age]]&lt;=23,"18-23",Table1[[#This Row],[Age]]&lt;=29,"24-29",Table1[[#This Row],[Age]]&lt;=35,"30-35",Table1[[#This Row],[Age]]&lt;=41,"36-41",Table1[[#This Row],[Age]]&gt;41,"Over 41")</f>
        <v>30-35</v>
      </c>
      <c r="N201" t="str" cm="1">
        <f t="array" ref="N201">_xlfn.IFS(Table1[[#This Row],[Days Since Last Purchase]]&lt;21,"Active",Table1[[#This Row],[Days Since Last Purchase]]&lt;=42,"Moderately Active",Table1[[#This Row],[Days Since Last Purchase]]&gt;=43, "Inactive")</f>
        <v>Active</v>
      </c>
      <c r="O201">
        <f>IF(K201="Satisfied",1,IF(K201="Neutral",0.5,IF(K201="Unsatisfied",0,IF(Table1[[#This Row],[Satisfaction Level]]="No Response","0"))))</f>
        <v>0.5</v>
      </c>
    </row>
    <row r="202" spans="1:15" x14ac:dyDescent="0.45">
      <c r="A202">
        <v>301</v>
      </c>
      <c r="B202" t="s">
        <v>15</v>
      </c>
      <c r="C202">
        <v>36</v>
      </c>
      <c r="D202" t="s">
        <v>22</v>
      </c>
      <c r="E202" t="s">
        <v>13</v>
      </c>
      <c r="F202">
        <v>1420.8</v>
      </c>
      <c r="G202">
        <v>19</v>
      </c>
      <c r="H202">
        <v>4.5999999999999996</v>
      </c>
      <c r="I202" t="b">
        <v>0</v>
      </c>
      <c r="J202">
        <v>11</v>
      </c>
      <c r="K202" t="s">
        <v>14</v>
      </c>
      <c r="L202" t="str" cm="1">
        <f t="array" ref="L202">_xlfn.IFS(Table1[[#This Row],[Discount Applied]]=TRUE,"Yes",Table1[[#This Row],[Discount Applied]]=FALSE,"No")</f>
        <v>No</v>
      </c>
      <c r="M202" t="str" cm="1">
        <f t="array" ref="M202">_xlfn.IFS(Table1[[#This Row],[Age]]&lt;18,"Under 18",Table1[[#This Row],[Age]]&lt;=23,"18-23",Table1[[#This Row],[Age]]&lt;=29,"24-29",Table1[[#This Row],[Age]]&lt;=35,"30-35",Table1[[#This Row],[Age]]&lt;=41,"36-41",Table1[[#This Row],[Age]]&gt;41,"Over 41")</f>
        <v>36-41</v>
      </c>
      <c r="N202" t="str" cm="1">
        <f t="array" ref="N202">_xlfn.IFS(Table1[[#This Row],[Days Since Last Purchase]]&lt;21,"Active",Table1[[#This Row],[Days Since Last Purchase]]&lt;=42,"Moderately Active",Table1[[#This Row],[Days Since Last Purchase]]&gt;=43, "Inactive")</f>
        <v>Active</v>
      </c>
      <c r="O202">
        <f>IF(K202="Satisfied",1,IF(K202="Neutral",0.5,IF(K202="Unsatisfied",0,IF(Table1[[#This Row],[Satisfaction Level]]="No Response","0"))))</f>
        <v>1</v>
      </c>
    </row>
    <row r="203" spans="1:15" x14ac:dyDescent="0.45">
      <c r="A203">
        <v>302</v>
      </c>
      <c r="B203" t="s">
        <v>11</v>
      </c>
      <c r="C203">
        <v>29</v>
      </c>
      <c r="D203" t="s">
        <v>23</v>
      </c>
      <c r="E203" t="s">
        <v>17</v>
      </c>
      <c r="F203">
        <v>730.4</v>
      </c>
      <c r="G203">
        <v>14</v>
      </c>
      <c r="H203">
        <v>4</v>
      </c>
      <c r="I203" t="b">
        <v>1</v>
      </c>
      <c r="J203">
        <v>50</v>
      </c>
      <c r="K203" t="s">
        <v>21</v>
      </c>
      <c r="L203" t="str" cm="1">
        <f t="array" ref="L203">_xlfn.IFS(Table1[[#This Row],[Discount Applied]]=TRUE,"Yes",Table1[[#This Row],[Discount Applied]]=FALSE,"No")</f>
        <v>Yes</v>
      </c>
      <c r="M203" t="str" cm="1">
        <f t="array" ref="M203">_xlfn.IFS(Table1[[#This Row],[Age]]&lt;18,"Under 18",Table1[[#This Row],[Age]]&lt;=23,"18-23",Table1[[#This Row],[Age]]&lt;=29,"24-29",Table1[[#This Row],[Age]]&lt;=35,"30-35",Table1[[#This Row],[Age]]&lt;=41,"36-41",Table1[[#This Row],[Age]]&gt;41,"Over 41")</f>
        <v>24-29</v>
      </c>
      <c r="N203" t="str" cm="1">
        <f t="array" ref="N203">_xlfn.IFS(Table1[[#This Row],[Days Since Last Purchase]]&lt;21,"Active",Table1[[#This Row],[Days Since Last Purchase]]&lt;=42,"Moderately Active",Table1[[#This Row],[Days Since Last Purchase]]&gt;=43, "Inactive")</f>
        <v>Inactive</v>
      </c>
      <c r="O203">
        <f>IF(K203="Satisfied",1,IF(K203="Neutral",0.5,IF(K203="Unsatisfied",0,IF(Table1[[#This Row],[Satisfaction Level]]="No Response","0"))))</f>
        <v>0</v>
      </c>
    </row>
    <row r="204" spans="1:15" x14ac:dyDescent="0.45">
      <c r="A204">
        <v>303</v>
      </c>
      <c r="B204" t="s">
        <v>11</v>
      </c>
      <c r="C204">
        <v>35</v>
      </c>
      <c r="D204" t="s">
        <v>24</v>
      </c>
      <c r="E204" t="s">
        <v>20</v>
      </c>
      <c r="F204">
        <v>450.6</v>
      </c>
      <c r="G204">
        <v>7</v>
      </c>
      <c r="H204">
        <v>3.3</v>
      </c>
      <c r="I204" t="b">
        <v>0</v>
      </c>
      <c r="J204">
        <v>21</v>
      </c>
      <c r="K204" t="s">
        <v>18</v>
      </c>
      <c r="L204" t="str" cm="1">
        <f t="array" ref="L204">_xlfn.IFS(Table1[[#This Row],[Discount Applied]]=TRUE,"Yes",Table1[[#This Row],[Discount Applied]]=FALSE,"No")</f>
        <v>No</v>
      </c>
      <c r="M204" t="str" cm="1">
        <f t="array" ref="M204">_xlfn.IFS(Table1[[#This Row],[Age]]&lt;18,"Under 18",Table1[[#This Row],[Age]]&lt;=23,"18-23",Table1[[#This Row],[Age]]&lt;=29,"24-29",Table1[[#This Row],[Age]]&lt;=35,"30-35",Table1[[#This Row],[Age]]&lt;=41,"36-41",Table1[[#This Row],[Age]]&gt;41,"Over 41")</f>
        <v>30-35</v>
      </c>
      <c r="N204" t="str" cm="1">
        <f t="array" ref="N204">_xlfn.IFS(Table1[[#This Row],[Days Since Last Purchase]]&lt;21,"Active",Table1[[#This Row],[Days Since Last Purchase]]&lt;=42,"Moderately Active",Table1[[#This Row],[Days Since Last Purchase]]&gt;=43, "Inactive")</f>
        <v>Moderately Active</v>
      </c>
      <c r="O204">
        <f>IF(K204="Satisfied",1,IF(K204="Neutral",0.5,IF(K204="Unsatisfied",0,IF(Table1[[#This Row],[Satisfaction Level]]="No Response","0"))))</f>
        <v>0.5</v>
      </c>
    </row>
    <row r="205" spans="1:15" x14ac:dyDescent="0.45">
      <c r="A205">
        <v>304</v>
      </c>
      <c r="B205" t="s">
        <v>15</v>
      </c>
      <c r="C205">
        <v>31</v>
      </c>
      <c r="D205" t="s">
        <v>12</v>
      </c>
      <c r="E205" t="s">
        <v>13</v>
      </c>
      <c r="F205">
        <v>1210.5999999999999</v>
      </c>
      <c r="G205">
        <v>17</v>
      </c>
      <c r="H205">
        <v>4.8</v>
      </c>
      <c r="I205" t="b">
        <v>1</v>
      </c>
      <c r="J205">
        <v>18</v>
      </c>
      <c r="K205" t="s">
        <v>14</v>
      </c>
      <c r="L205" t="str" cm="1">
        <f t="array" ref="L205">_xlfn.IFS(Table1[[#This Row],[Discount Applied]]=TRUE,"Yes",Table1[[#This Row],[Discount Applied]]=FALSE,"No")</f>
        <v>Yes</v>
      </c>
      <c r="M205" t="str" cm="1">
        <f t="array" ref="M205">_xlfn.IFS(Table1[[#This Row],[Age]]&lt;18,"Under 18",Table1[[#This Row],[Age]]&lt;=23,"18-23",Table1[[#This Row],[Age]]&lt;=29,"24-29",Table1[[#This Row],[Age]]&lt;=35,"30-35",Table1[[#This Row],[Age]]&lt;=41,"36-41",Table1[[#This Row],[Age]]&gt;41,"Over 41")</f>
        <v>30-35</v>
      </c>
      <c r="N205" t="str" cm="1">
        <f t="array" ref="N205">_xlfn.IFS(Table1[[#This Row],[Days Since Last Purchase]]&lt;21,"Active",Table1[[#This Row],[Days Since Last Purchase]]&lt;=42,"Moderately Active",Table1[[#This Row],[Days Since Last Purchase]]&gt;=43, "Inactive")</f>
        <v>Active</v>
      </c>
      <c r="O205">
        <f>IF(K205="Satisfied",1,IF(K205="Neutral",0.5,IF(K205="Unsatisfied",0,IF(Table1[[#This Row],[Satisfaction Level]]="No Response","0"))))</f>
        <v>1</v>
      </c>
    </row>
    <row r="206" spans="1:15" x14ac:dyDescent="0.45">
      <c r="A206">
        <v>305</v>
      </c>
      <c r="B206" t="s">
        <v>15</v>
      </c>
      <c r="C206">
        <v>27</v>
      </c>
      <c r="D206" t="s">
        <v>16</v>
      </c>
      <c r="E206" t="s">
        <v>17</v>
      </c>
      <c r="F206">
        <v>780.9</v>
      </c>
      <c r="G206">
        <v>11</v>
      </c>
      <c r="H206">
        <v>4.2</v>
      </c>
      <c r="I206" t="b">
        <v>0</v>
      </c>
      <c r="J206">
        <v>16</v>
      </c>
      <c r="K206" t="s">
        <v>18</v>
      </c>
      <c r="L206" t="str" cm="1">
        <f t="array" ref="L206">_xlfn.IFS(Table1[[#This Row],[Discount Applied]]=TRUE,"Yes",Table1[[#This Row],[Discount Applied]]=FALSE,"No")</f>
        <v>No</v>
      </c>
      <c r="M206" t="str" cm="1">
        <f t="array" ref="M206">_xlfn.IFS(Table1[[#This Row],[Age]]&lt;18,"Under 18",Table1[[#This Row],[Age]]&lt;=23,"18-23",Table1[[#This Row],[Age]]&lt;=29,"24-29",Table1[[#This Row],[Age]]&lt;=35,"30-35",Table1[[#This Row],[Age]]&lt;=41,"36-41",Table1[[#This Row],[Age]]&gt;41,"Over 41")</f>
        <v>24-29</v>
      </c>
      <c r="N206" t="str" cm="1">
        <f t="array" ref="N206">_xlfn.IFS(Table1[[#This Row],[Days Since Last Purchase]]&lt;21,"Active",Table1[[#This Row],[Days Since Last Purchase]]&lt;=42,"Moderately Active",Table1[[#This Row],[Days Since Last Purchase]]&gt;=43, "Inactive")</f>
        <v>Active</v>
      </c>
      <c r="O206">
        <f>IF(K206="Satisfied",1,IF(K206="Neutral",0.5,IF(K206="Unsatisfied",0,IF(Table1[[#This Row],[Satisfaction Level]]="No Response","0"))))</f>
        <v>0.5</v>
      </c>
    </row>
    <row r="207" spans="1:15" x14ac:dyDescent="0.45">
      <c r="A207">
        <v>306</v>
      </c>
      <c r="B207" t="s">
        <v>11</v>
      </c>
      <c r="C207">
        <v>42</v>
      </c>
      <c r="D207" t="s">
        <v>19</v>
      </c>
      <c r="E207" t="s">
        <v>20</v>
      </c>
      <c r="F207">
        <v>495.25</v>
      </c>
      <c r="G207">
        <v>10</v>
      </c>
      <c r="H207">
        <v>3.5</v>
      </c>
      <c r="I207" t="b">
        <v>1</v>
      </c>
      <c r="J207">
        <v>35</v>
      </c>
      <c r="K207" t="s">
        <v>21</v>
      </c>
      <c r="L207" t="str" cm="1">
        <f t="array" ref="L207">_xlfn.IFS(Table1[[#This Row],[Discount Applied]]=TRUE,"Yes",Table1[[#This Row],[Discount Applied]]=FALSE,"No")</f>
        <v>Yes</v>
      </c>
      <c r="M207" t="str" cm="1">
        <f t="array" ref="M207">_xlfn.IFS(Table1[[#This Row],[Age]]&lt;18,"Under 18",Table1[[#This Row],[Age]]&lt;=23,"18-23",Table1[[#This Row],[Age]]&lt;=29,"24-29",Table1[[#This Row],[Age]]&lt;=35,"30-35",Table1[[#This Row],[Age]]&lt;=41,"36-41",Table1[[#This Row],[Age]]&gt;41,"Over 41")</f>
        <v>Over 41</v>
      </c>
      <c r="N207" t="str" cm="1">
        <f t="array" ref="N207">_xlfn.IFS(Table1[[#This Row],[Days Since Last Purchase]]&lt;21,"Active",Table1[[#This Row],[Days Since Last Purchase]]&lt;=42,"Moderately Active",Table1[[#This Row],[Days Since Last Purchase]]&gt;=43, "Inactive")</f>
        <v>Moderately Active</v>
      </c>
      <c r="O207">
        <f>IF(K207="Satisfied",1,IF(K207="Neutral",0.5,IF(K207="Unsatisfied",0,IF(Table1[[#This Row],[Satisfaction Level]]="No Response","0"))))</f>
        <v>0</v>
      </c>
    </row>
    <row r="208" spans="1:15" x14ac:dyDescent="0.45">
      <c r="A208">
        <v>307</v>
      </c>
      <c r="B208" t="s">
        <v>15</v>
      </c>
      <c r="C208">
        <v>29</v>
      </c>
      <c r="D208" t="s">
        <v>22</v>
      </c>
      <c r="E208" t="s">
        <v>13</v>
      </c>
      <c r="F208">
        <v>1390.2</v>
      </c>
      <c r="G208">
        <v>18</v>
      </c>
      <c r="H208">
        <v>4.7</v>
      </c>
      <c r="I208" t="b">
        <v>0</v>
      </c>
      <c r="J208">
        <v>9</v>
      </c>
      <c r="K208" t="s">
        <v>14</v>
      </c>
      <c r="L208" t="str" cm="1">
        <f t="array" ref="L208">_xlfn.IFS(Table1[[#This Row],[Discount Applied]]=TRUE,"Yes",Table1[[#This Row],[Discount Applied]]=FALSE,"No")</f>
        <v>No</v>
      </c>
      <c r="M208" t="str" cm="1">
        <f t="array" ref="M208">_xlfn.IFS(Table1[[#This Row],[Age]]&lt;18,"Under 18",Table1[[#This Row],[Age]]&lt;=23,"18-23",Table1[[#This Row],[Age]]&lt;=29,"24-29",Table1[[#This Row],[Age]]&lt;=35,"30-35",Table1[[#This Row],[Age]]&lt;=41,"36-41",Table1[[#This Row],[Age]]&gt;41,"Over 41")</f>
        <v>24-29</v>
      </c>
      <c r="N208" t="str" cm="1">
        <f t="array" ref="N208">_xlfn.IFS(Table1[[#This Row],[Days Since Last Purchase]]&lt;21,"Active",Table1[[#This Row],[Days Since Last Purchase]]&lt;=42,"Moderately Active",Table1[[#This Row],[Days Since Last Purchase]]&gt;=43, "Inactive")</f>
        <v>Active</v>
      </c>
      <c r="O208">
        <f>IF(K208="Satisfied",1,IF(K208="Neutral",0.5,IF(K208="Unsatisfied",0,IF(Table1[[#This Row],[Satisfaction Level]]="No Response","0"))))</f>
        <v>1</v>
      </c>
    </row>
    <row r="209" spans="1:15" x14ac:dyDescent="0.45">
      <c r="A209">
        <v>308</v>
      </c>
      <c r="B209" t="s">
        <v>15</v>
      </c>
      <c r="C209">
        <v>26</v>
      </c>
      <c r="D209" t="s">
        <v>23</v>
      </c>
      <c r="E209" t="s">
        <v>17</v>
      </c>
      <c r="F209">
        <v>670.6</v>
      </c>
      <c r="G209">
        <v>12</v>
      </c>
      <c r="H209">
        <v>3.9</v>
      </c>
      <c r="I209" t="b">
        <v>1</v>
      </c>
      <c r="J209">
        <v>46</v>
      </c>
      <c r="K209" t="s">
        <v>21</v>
      </c>
      <c r="L209" t="str" cm="1">
        <f t="array" ref="L209">_xlfn.IFS(Table1[[#This Row],[Discount Applied]]=TRUE,"Yes",Table1[[#This Row],[Discount Applied]]=FALSE,"No")</f>
        <v>Yes</v>
      </c>
      <c r="M209" t="str" cm="1">
        <f t="array" ref="M209">_xlfn.IFS(Table1[[#This Row],[Age]]&lt;18,"Under 18",Table1[[#This Row],[Age]]&lt;=23,"18-23",Table1[[#This Row],[Age]]&lt;=29,"24-29",Table1[[#This Row],[Age]]&lt;=35,"30-35",Table1[[#This Row],[Age]]&lt;=41,"36-41",Table1[[#This Row],[Age]]&gt;41,"Over 41")</f>
        <v>24-29</v>
      </c>
      <c r="N209" t="str" cm="1">
        <f t="array" ref="N209">_xlfn.IFS(Table1[[#This Row],[Days Since Last Purchase]]&lt;21,"Active",Table1[[#This Row],[Days Since Last Purchase]]&lt;=42,"Moderately Active",Table1[[#This Row],[Days Since Last Purchase]]&gt;=43, "Inactive")</f>
        <v>Inactive</v>
      </c>
      <c r="O209">
        <f>IF(K209="Satisfied",1,IF(K209="Neutral",0.5,IF(K209="Unsatisfied",0,IF(Table1[[#This Row],[Satisfaction Level]]="No Response","0"))))</f>
        <v>0</v>
      </c>
    </row>
    <row r="210" spans="1:15" x14ac:dyDescent="0.45">
      <c r="A210">
        <v>309</v>
      </c>
      <c r="B210" t="s">
        <v>11</v>
      </c>
      <c r="C210">
        <v>38</v>
      </c>
      <c r="D210" t="s">
        <v>24</v>
      </c>
      <c r="E210" t="s">
        <v>20</v>
      </c>
      <c r="F210">
        <v>460.9</v>
      </c>
      <c r="G210">
        <v>8</v>
      </c>
      <c r="H210">
        <v>3.2</v>
      </c>
      <c r="I210" t="b">
        <v>0</v>
      </c>
      <c r="J210">
        <v>25</v>
      </c>
      <c r="K210" t="s">
        <v>18</v>
      </c>
      <c r="L210" t="str" cm="1">
        <f t="array" ref="L210">_xlfn.IFS(Table1[[#This Row],[Discount Applied]]=TRUE,"Yes",Table1[[#This Row],[Discount Applied]]=FALSE,"No")</f>
        <v>No</v>
      </c>
      <c r="M210" t="str" cm="1">
        <f t="array" ref="M210">_xlfn.IFS(Table1[[#This Row],[Age]]&lt;18,"Under 18",Table1[[#This Row],[Age]]&lt;=23,"18-23",Table1[[#This Row],[Age]]&lt;=29,"24-29",Table1[[#This Row],[Age]]&lt;=35,"30-35",Table1[[#This Row],[Age]]&lt;=41,"36-41",Table1[[#This Row],[Age]]&gt;41,"Over 41")</f>
        <v>36-41</v>
      </c>
      <c r="N210" t="str" cm="1">
        <f t="array" ref="N210">_xlfn.IFS(Table1[[#This Row],[Days Since Last Purchase]]&lt;21,"Active",Table1[[#This Row],[Days Since Last Purchase]]&lt;=42,"Moderately Active",Table1[[#This Row],[Days Since Last Purchase]]&gt;=43, "Inactive")</f>
        <v>Moderately Active</v>
      </c>
      <c r="O210">
        <f>IF(K210="Satisfied",1,IF(K210="Neutral",0.5,IF(K210="Unsatisfied",0,IF(Table1[[#This Row],[Satisfaction Level]]="No Response","0"))))</f>
        <v>0.5</v>
      </c>
    </row>
    <row r="211" spans="1:15" x14ac:dyDescent="0.45">
      <c r="A211">
        <v>310</v>
      </c>
      <c r="B211" t="s">
        <v>11</v>
      </c>
      <c r="C211">
        <v>32</v>
      </c>
      <c r="D211" t="s">
        <v>12</v>
      </c>
      <c r="E211" t="s">
        <v>13</v>
      </c>
      <c r="F211">
        <v>1170.3</v>
      </c>
      <c r="G211">
        <v>14</v>
      </c>
      <c r="H211">
        <v>4.5</v>
      </c>
      <c r="I211" t="b">
        <v>1</v>
      </c>
      <c r="J211">
        <v>21</v>
      </c>
      <c r="K211" t="s">
        <v>14</v>
      </c>
      <c r="L211" t="str" cm="1">
        <f t="array" ref="L211">_xlfn.IFS(Table1[[#This Row],[Discount Applied]]=TRUE,"Yes",Table1[[#This Row],[Discount Applied]]=FALSE,"No")</f>
        <v>Yes</v>
      </c>
      <c r="M211" t="str" cm="1">
        <f t="array" ref="M211">_xlfn.IFS(Table1[[#This Row],[Age]]&lt;18,"Under 18",Table1[[#This Row],[Age]]&lt;=23,"18-23",Table1[[#This Row],[Age]]&lt;=29,"24-29",Table1[[#This Row],[Age]]&lt;=35,"30-35",Table1[[#This Row],[Age]]&lt;=41,"36-41",Table1[[#This Row],[Age]]&gt;41,"Over 41")</f>
        <v>30-35</v>
      </c>
      <c r="N211" t="str" cm="1">
        <f t="array" ref="N211">_xlfn.IFS(Table1[[#This Row],[Days Since Last Purchase]]&lt;21,"Active",Table1[[#This Row],[Days Since Last Purchase]]&lt;=42,"Moderately Active",Table1[[#This Row],[Days Since Last Purchase]]&gt;=43, "Inactive")</f>
        <v>Moderately Active</v>
      </c>
      <c r="O211">
        <f>IF(K211="Satisfied",1,IF(K211="Neutral",0.5,IF(K211="Unsatisfied",0,IF(Table1[[#This Row],[Satisfaction Level]]="No Response","0"))))</f>
        <v>1</v>
      </c>
    </row>
    <row r="212" spans="1:15" x14ac:dyDescent="0.45">
      <c r="A212">
        <v>311</v>
      </c>
      <c r="B212" t="s">
        <v>15</v>
      </c>
      <c r="C212">
        <v>34</v>
      </c>
      <c r="D212" t="s">
        <v>16</v>
      </c>
      <c r="E212" t="s">
        <v>17</v>
      </c>
      <c r="F212">
        <v>810.2</v>
      </c>
      <c r="G212">
        <v>11</v>
      </c>
      <c r="H212">
        <v>4</v>
      </c>
      <c r="I212" t="b">
        <v>0</v>
      </c>
      <c r="J212">
        <v>14</v>
      </c>
      <c r="K212" t="s">
        <v>18</v>
      </c>
      <c r="L212" t="str" cm="1">
        <f t="array" ref="L212">_xlfn.IFS(Table1[[#This Row],[Discount Applied]]=TRUE,"Yes",Table1[[#This Row],[Discount Applied]]=FALSE,"No")</f>
        <v>No</v>
      </c>
      <c r="M212" t="str" cm="1">
        <f t="array" ref="M212">_xlfn.IFS(Table1[[#This Row],[Age]]&lt;18,"Under 18",Table1[[#This Row],[Age]]&lt;=23,"18-23",Table1[[#This Row],[Age]]&lt;=29,"24-29",Table1[[#This Row],[Age]]&lt;=35,"30-35",Table1[[#This Row],[Age]]&lt;=41,"36-41",Table1[[#This Row],[Age]]&gt;41,"Over 41")</f>
        <v>30-35</v>
      </c>
      <c r="N212" t="str" cm="1">
        <f t="array" ref="N212">_xlfn.IFS(Table1[[#This Row],[Days Since Last Purchase]]&lt;21,"Active",Table1[[#This Row],[Days Since Last Purchase]]&lt;=42,"Moderately Active",Table1[[#This Row],[Days Since Last Purchase]]&gt;=43, "Inactive")</f>
        <v>Active</v>
      </c>
      <c r="O212">
        <f>IF(K212="Satisfied",1,IF(K212="Neutral",0.5,IF(K212="Unsatisfied",0,IF(Table1[[#This Row],[Satisfaction Level]]="No Response","0"))))</f>
        <v>0.5</v>
      </c>
    </row>
    <row r="213" spans="1:15" x14ac:dyDescent="0.45">
      <c r="A213">
        <v>312</v>
      </c>
      <c r="B213" t="s">
        <v>11</v>
      </c>
      <c r="C213">
        <v>43</v>
      </c>
      <c r="D213" t="s">
        <v>19</v>
      </c>
      <c r="E213" t="s">
        <v>20</v>
      </c>
      <c r="F213">
        <v>515.75</v>
      </c>
      <c r="G213">
        <v>9</v>
      </c>
      <c r="H213">
        <v>3.3</v>
      </c>
      <c r="I213" t="b">
        <v>1</v>
      </c>
      <c r="J213">
        <v>38</v>
      </c>
      <c r="K213" t="s">
        <v>21</v>
      </c>
      <c r="L213" t="str" cm="1">
        <f t="array" ref="L213">_xlfn.IFS(Table1[[#This Row],[Discount Applied]]=TRUE,"Yes",Table1[[#This Row],[Discount Applied]]=FALSE,"No")</f>
        <v>Yes</v>
      </c>
      <c r="M213" t="str" cm="1">
        <f t="array" ref="M213">_xlfn.IFS(Table1[[#This Row],[Age]]&lt;18,"Under 18",Table1[[#This Row],[Age]]&lt;=23,"18-23",Table1[[#This Row],[Age]]&lt;=29,"24-29",Table1[[#This Row],[Age]]&lt;=35,"30-35",Table1[[#This Row],[Age]]&lt;=41,"36-41",Table1[[#This Row],[Age]]&gt;41,"Over 41")</f>
        <v>Over 41</v>
      </c>
      <c r="N213" t="str" cm="1">
        <f t="array" ref="N213">_xlfn.IFS(Table1[[#This Row],[Days Since Last Purchase]]&lt;21,"Active",Table1[[#This Row],[Days Since Last Purchase]]&lt;=42,"Moderately Active",Table1[[#This Row],[Days Since Last Purchase]]&gt;=43, "Inactive")</f>
        <v>Moderately Active</v>
      </c>
      <c r="O213">
        <f>IF(K213="Satisfied",1,IF(K213="Neutral",0.5,IF(K213="Unsatisfied",0,IF(Table1[[#This Row],[Satisfaction Level]]="No Response","0"))))</f>
        <v>0</v>
      </c>
    </row>
    <row r="214" spans="1:15" x14ac:dyDescent="0.45">
      <c r="A214">
        <v>313</v>
      </c>
      <c r="B214" t="s">
        <v>15</v>
      </c>
      <c r="C214">
        <v>30</v>
      </c>
      <c r="D214" t="s">
        <v>22</v>
      </c>
      <c r="E214" t="s">
        <v>13</v>
      </c>
      <c r="F214">
        <v>1450.5</v>
      </c>
      <c r="G214">
        <v>20</v>
      </c>
      <c r="H214">
        <v>4.8</v>
      </c>
      <c r="I214" t="b">
        <v>0</v>
      </c>
      <c r="J214">
        <v>12</v>
      </c>
      <c r="K214" t="s">
        <v>14</v>
      </c>
      <c r="L214" t="str" cm="1">
        <f t="array" ref="L214">_xlfn.IFS(Table1[[#This Row],[Discount Applied]]=TRUE,"Yes",Table1[[#This Row],[Discount Applied]]=FALSE,"No")</f>
        <v>No</v>
      </c>
      <c r="M214" t="str" cm="1">
        <f t="array" ref="M214">_xlfn.IFS(Table1[[#This Row],[Age]]&lt;18,"Under 18",Table1[[#This Row],[Age]]&lt;=23,"18-23",Table1[[#This Row],[Age]]&lt;=29,"24-29",Table1[[#This Row],[Age]]&lt;=35,"30-35",Table1[[#This Row],[Age]]&lt;=41,"36-41",Table1[[#This Row],[Age]]&gt;41,"Over 41")</f>
        <v>30-35</v>
      </c>
      <c r="N214" t="str" cm="1">
        <f t="array" ref="N214">_xlfn.IFS(Table1[[#This Row],[Days Since Last Purchase]]&lt;21,"Active",Table1[[#This Row],[Days Since Last Purchase]]&lt;=42,"Moderately Active",Table1[[#This Row],[Days Since Last Purchase]]&gt;=43, "Inactive")</f>
        <v>Active</v>
      </c>
      <c r="O214">
        <f>IF(K214="Satisfied",1,IF(K214="Neutral",0.5,IF(K214="Unsatisfied",0,IF(Table1[[#This Row],[Satisfaction Level]]="No Response","0"))))</f>
        <v>1</v>
      </c>
    </row>
    <row r="215" spans="1:15" x14ac:dyDescent="0.45">
      <c r="A215">
        <v>314</v>
      </c>
      <c r="B215" t="s">
        <v>15</v>
      </c>
      <c r="C215">
        <v>27</v>
      </c>
      <c r="D215" t="s">
        <v>23</v>
      </c>
      <c r="E215" t="s">
        <v>17</v>
      </c>
      <c r="F215">
        <v>690.4</v>
      </c>
      <c r="G215">
        <v>13</v>
      </c>
      <c r="H215">
        <v>4.0999999999999996</v>
      </c>
      <c r="I215" t="b">
        <v>1</v>
      </c>
      <c r="J215">
        <v>52</v>
      </c>
      <c r="K215" t="s">
        <v>21</v>
      </c>
      <c r="L215" t="str" cm="1">
        <f t="array" ref="L215">_xlfn.IFS(Table1[[#This Row],[Discount Applied]]=TRUE,"Yes",Table1[[#This Row],[Discount Applied]]=FALSE,"No")</f>
        <v>Yes</v>
      </c>
      <c r="M215" t="str" cm="1">
        <f t="array" ref="M215">_xlfn.IFS(Table1[[#This Row],[Age]]&lt;18,"Under 18",Table1[[#This Row],[Age]]&lt;=23,"18-23",Table1[[#This Row],[Age]]&lt;=29,"24-29",Table1[[#This Row],[Age]]&lt;=35,"30-35",Table1[[#This Row],[Age]]&lt;=41,"36-41",Table1[[#This Row],[Age]]&gt;41,"Over 41")</f>
        <v>24-29</v>
      </c>
      <c r="N215" t="str" cm="1">
        <f t="array" ref="N215">_xlfn.IFS(Table1[[#This Row],[Days Since Last Purchase]]&lt;21,"Active",Table1[[#This Row],[Days Since Last Purchase]]&lt;=42,"Moderately Active",Table1[[#This Row],[Days Since Last Purchase]]&gt;=43, "Inactive")</f>
        <v>Inactive</v>
      </c>
      <c r="O215">
        <f>IF(K215="Satisfied",1,IF(K215="Neutral",0.5,IF(K215="Unsatisfied",0,IF(Table1[[#This Row],[Satisfaction Level]]="No Response","0"))))</f>
        <v>0</v>
      </c>
    </row>
    <row r="216" spans="1:15" x14ac:dyDescent="0.45">
      <c r="A216">
        <v>315</v>
      </c>
      <c r="B216" t="s">
        <v>11</v>
      </c>
      <c r="C216">
        <v>37</v>
      </c>
      <c r="D216" t="s">
        <v>24</v>
      </c>
      <c r="E216" t="s">
        <v>20</v>
      </c>
      <c r="F216">
        <v>420.8</v>
      </c>
      <c r="G216">
        <v>7</v>
      </c>
      <c r="H216">
        <v>3.4</v>
      </c>
      <c r="I216" t="b">
        <v>0</v>
      </c>
      <c r="J216">
        <v>24</v>
      </c>
      <c r="K216" t="s">
        <v>18</v>
      </c>
      <c r="L216" t="str" cm="1">
        <f t="array" ref="L216">_xlfn.IFS(Table1[[#This Row],[Discount Applied]]=TRUE,"Yes",Table1[[#This Row],[Discount Applied]]=FALSE,"No")</f>
        <v>No</v>
      </c>
      <c r="M216" t="str" cm="1">
        <f t="array" ref="M216">_xlfn.IFS(Table1[[#This Row],[Age]]&lt;18,"Under 18",Table1[[#This Row],[Age]]&lt;=23,"18-23",Table1[[#This Row],[Age]]&lt;=29,"24-29",Table1[[#This Row],[Age]]&lt;=35,"30-35",Table1[[#This Row],[Age]]&lt;=41,"36-41",Table1[[#This Row],[Age]]&gt;41,"Over 41")</f>
        <v>36-41</v>
      </c>
      <c r="N216" t="str" cm="1">
        <f t="array" ref="N216">_xlfn.IFS(Table1[[#This Row],[Days Since Last Purchase]]&lt;21,"Active",Table1[[#This Row],[Days Since Last Purchase]]&lt;=42,"Moderately Active",Table1[[#This Row],[Days Since Last Purchase]]&gt;=43, "Inactive")</f>
        <v>Moderately Active</v>
      </c>
      <c r="O216">
        <f>IF(K216="Satisfied",1,IF(K216="Neutral",0.5,IF(K216="Unsatisfied",0,IF(Table1[[#This Row],[Satisfaction Level]]="No Response","0"))))</f>
        <v>0.5</v>
      </c>
    </row>
    <row r="217" spans="1:15" x14ac:dyDescent="0.45">
      <c r="A217">
        <v>316</v>
      </c>
      <c r="B217" t="s">
        <v>11</v>
      </c>
      <c r="C217">
        <v>31</v>
      </c>
      <c r="D217" t="s">
        <v>12</v>
      </c>
      <c r="E217" t="s">
        <v>13</v>
      </c>
      <c r="F217">
        <v>1130.5999999999999</v>
      </c>
      <c r="G217">
        <v>15</v>
      </c>
      <c r="H217">
        <v>4.5</v>
      </c>
      <c r="I217" t="b">
        <v>1</v>
      </c>
      <c r="J217">
        <v>26</v>
      </c>
      <c r="K217" t="s">
        <v>14</v>
      </c>
      <c r="L217" t="str" cm="1">
        <f t="array" ref="L217">_xlfn.IFS(Table1[[#This Row],[Discount Applied]]=TRUE,"Yes",Table1[[#This Row],[Discount Applied]]=FALSE,"No")</f>
        <v>Yes</v>
      </c>
      <c r="M217" t="str" cm="1">
        <f t="array" ref="M217">_xlfn.IFS(Table1[[#This Row],[Age]]&lt;18,"Under 18",Table1[[#This Row],[Age]]&lt;=23,"18-23",Table1[[#This Row],[Age]]&lt;=29,"24-29",Table1[[#This Row],[Age]]&lt;=35,"30-35",Table1[[#This Row],[Age]]&lt;=41,"36-41",Table1[[#This Row],[Age]]&gt;41,"Over 41")</f>
        <v>30-35</v>
      </c>
      <c r="N217" t="str" cm="1">
        <f t="array" ref="N217">_xlfn.IFS(Table1[[#This Row],[Days Since Last Purchase]]&lt;21,"Active",Table1[[#This Row],[Days Since Last Purchase]]&lt;=42,"Moderately Active",Table1[[#This Row],[Days Since Last Purchase]]&gt;=43, "Inactive")</f>
        <v>Moderately Active</v>
      </c>
      <c r="O217">
        <f>IF(K217="Satisfied",1,IF(K217="Neutral",0.5,IF(K217="Unsatisfied",0,IF(Table1[[#This Row],[Satisfaction Level]]="No Response","0"))))</f>
        <v>1</v>
      </c>
    </row>
    <row r="218" spans="1:15" x14ac:dyDescent="0.45">
      <c r="A218">
        <v>317</v>
      </c>
      <c r="B218" t="s">
        <v>15</v>
      </c>
      <c r="C218">
        <v>35</v>
      </c>
      <c r="D218" t="s">
        <v>16</v>
      </c>
      <c r="E218" t="s">
        <v>17</v>
      </c>
      <c r="F218">
        <v>820.9</v>
      </c>
      <c r="G218">
        <v>12</v>
      </c>
      <c r="H218">
        <v>4.3</v>
      </c>
      <c r="I218" t="b">
        <v>0</v>
      </c>
      <c r="J218">
        <v>13</v>
      </c>
      <c r="K218" t="s">
        <v>18</v>
      </c>
      <c r="L218" t="str" cm="1">
        <f t="array" ref="L218">_xlfn.IFS(Table1[[#This Row],[Discount Applied]]=TRUE,"Yes",Table1[[#This Row],[Discount Applied]]=FALSE,"No")</f>
        <v>No</v>
      </c>
      <c r="M218" t="str" cm="1">
        <f t="array" ref="M218">_xlfn.IFS(Table1[[#This Row],[Age]]&lt;18,"Under 18",Table1[[#This Row],[Age]]&lt;=23,"18-23",Table1[[#This Row],[Age]]&lt;=29,"24-29",Table1[[#This Row],[Age]]&lt;=35,"30-35",Table1[[#This Row],[Age]]&lt;=41,"36-41",Table1[[#This Row],[Age]]&gt;41,"Over 41")</f>
        <v>30-35</v>
      </c>
      <c r="N218" t="str" cm="1">
        <f t="array" ref="N218">_xlfn.IFS(Table1[[#This Row],[Days Since Last Purchase]]&lt;21,"Active",Table1[[#This Row],[Days Since Last Purchase]]&lt;=42,"Moderately Active",Table1[[#This Row],[Days Since Last Purchase]]&gt;=43, "Inactive")</f>
        <v>Active</v>
      </c>
      <c r="O218">
        <f>IF(K218="Satisfied",1,IF(K218="Neutral",0.5,IF(K218="Unsatisfied",0,IF(Table1[[#This Row],[Satisfaction Level]]="No Response","0"))))</f>
        <v>0.5</v>
      </c>
    </row>
    <row r="219" spans="1:15" x14ac:dyDescent="0.45">
      <c r="A219">
        <v>318</v>
      </c>
      <c r="B219" t="s">
        <v>11</v>
      </c>
      <c r="C219">
        <v>41</v>
      </c>
      <c r="D219" t="s">
        <v>19</v>
      </c>
      <c r="E219" t="s">
        <v>20</v>
      </c>
      <c r="F219">
        <v>480.25</v>
      </c>
      <c r="G219">
        <v>9</v>
      </c>
      <c r="H219">
        <v>3.6</v>
      </c>
      <c r="I219" t="b">
        <v>1</v>
      </c>
      <c r="J219">
        <v>39</v>
      </c>
      <c r="K219" t="s">
        <v>21</v>
      </c>
      <c r="L219" t="str" cm="1">
        <f t="array" ref="L219">_xlfn.IFS(Table1[[#This Row],[Discount Applied]]=TRUE,"Yes",Table1[[#This Row],[Discount Applied]]=FALSE,"No")</f>
        <v>Yes</v>
      </c>
      <c r="M219" t="str" cm="1">
        <f t="array" ref="M219">_xlfn.IFS(Table1[[#This Row],[Age]]&lt;18,"Under 18",Table1[[#This Row],[Age]]&lt;=23,"18-23",Table1[[#This Row],[Age]]&lt;=29,"24-29",Table1[[#This Row],[Age]]&lt;=35,"30-35",Table1[[#This Row],[Age]]&lt;=41,"36-41",Table1[[#This Row],[Age]]&gt;41,"Over 41")</f>
        <v>36-41</v>
      </c>
      <c r="N219" t="str" cm="1">
        <f t="array" ref="N219">_xlfn.IFS(Table1[[#This Row],[Days Since Last Purchase]]&lt;21,"Active",Table1[[#This Row],[Days Since Last Purchase]]&lt;=42,"Moderately Active",Table1[[#This Row],[Days Since Last Purchase]]&gt;=43, "Inactive")</f>
        <v>Moderately Active</v>
      </c>
      <c r="O219">
        <f>IF(K219="Satisfied",1,IF(K219="Neutral",0.5,IF(K219="Unsatisfied",0,IF(Table1[[#This Row],[Satisfaction Level]]="No Response","0"))))</f>
        <v>0</v>
      </c>
    </row>
    <row r="220" spans="1:15" x14ac:dyDescent="0.45">
      <c r="A220">
        <v>319</v>
      </c>
      <c r="B220" t="s">
        <v>15</v>
      </c>
      <c r="C220">
        <v>28</v>
      </c>
      <c r="D220" t="s">
        <v>22</v>
      </c>
      <c r="E220" t="s">
        <v>13</v>
      </c>
      <c r="F220">
        <v>1490.1</v>
      </c>
      <c r="G220">
        <v>21</v>
      </c>
      <c r="H220">
        <v>4.9000000000000004</v>
      </c>
      <c r="I220" t="b">
        <v>0</v>
      </c>
      <c r="J220">
        <v>9</v>
      </c>
      <c r="K220" t="s">
        <v>14</v>
      </c>
      <c r="L220" t="str" cm="1">
        <f t="array" ref="L220">_xlfn.IFS(Table1[[#This Row],[Discount Applied]]=TRUE,"Yes",Table1[[#This Row],[Discount Applied]]=FALSE,"No")</f>
        <v>No</v>
      </c>
      <c r="M220" t="str" cm="1">
        <f t="array" ref="M220">_xlfn.IFS(Table1[[#This Row],[Age]]&lt;18,"Under 18",Table1[[#This Row],[Age]]&lt;=23,"18-23",Table1[[#This Row],[Age]]&lt;=29,"24-29",Table1[[#This Row],[Age]]&lt;=35,"30-35",Table1[[#This Row],[Age]]&lt;=41,"36-41",Table1[[#This Row],[Age]]&gt;41,"Over 41")</f>
        <v>24-29</v>
      </c>
      <c r="N220" t="str" cm="1">
        <f t="array" ref="N220">_xlfn.IFS(Table1[[#This Row],[Days Since Last Purchase]]&lt;21,"Active",Table1[[#This Row],[Days Since Last Purchase]]&lt;=42,"Moderately Active",Table1[[#This Row],[Days Since Last Purchase]]&gt;=43, "Inactive")</f>
        <v>Active</v>
      </c>
      <c r="O220">
        <f>IF(K220="Satisfied",1,IF(K220="Neutral",0.5,IF(K220="Unsatisfied",0,IF(Table1[[#This Row],[Satisfaction Level]]="No Response","0"))))</f>
        <v>1</v>
      </c>
    </row>
    <row r="221" spans="1:15" x14ac:dyDescent="0.45">
      <c r="A221">
        <v>320</v>
      </c>
      <c r="B221" t="s">
        <v>15</v>
      </c>
      <c r="C221">
        <v>32</v>
      </c>
      <c r="D221" t="s">
        <v>23</v>
      </c>
      <c r="E221" t="s">
        <v>17</v>
      </c>
      <c r="F221">
        <v>680.3</v>
      </c>
      <c r="G221">
        <v>10</v>
      </c>
      <c r="H221">
        <v>3.8</v>
      </c>
      <c r="I221" t="b">
        <v>1</v>
      </c>
      <c r="J221">
        <v>32</v>
      </c>
      <c r="K221" t="s">
        <v>21</v>
      </c>
      <c r="L221" t="str" cm="1">
        <f t="array" ref="L221">_xlfn.IFS(Table1[[#This Row],[Discount Applied]]=TRUE,"Yes",Table1[[#This Row],[Discount Applied]]=FALSE,"No")</f>
        <v>Yes</v>
      </c>
      <c r="M221" t="str" cm="1">
        <f t="array" ref="M221">_xlfn.IFS(Table1[[#This Row],[Age]]&lt;18,"Under 18",Table1[[#This Row],[Age]]&lt;=23,"18-23",Table1[[#This Row],[Age]]&lt;=29,"24-29",Table1[[#This Row],[Age]]&lt;=35,"30-35",Table1[[#This Row],[Age]]&lt;=41,"36-41",Table1[[#This Row],[Age]]&gt;41,"Over 41")</f>
        <v>30-35</v>
      </c>
      <c r="N221" t="str" cm="1">
        <f t="array" ref="N221">_xlfn.IFS(Table1[[#This Row],[Days Since Last Purchase]]&lt;21,"Active",Table1[[#This Row],[Days Since Last Purchase]]&lt;=42,"Moderately Active",Table1[[#This Row],[Days Since Last Purchase]]&gt;=43, "Inactive")</f>
        <v>Moderately Active</v>
      </c>
      <c r="O221">
        <f>IF(K221="Satisfied",1,IF(K221="Neutral",0.5,IF(K221="Unsatisfied",0,IF(Table1[[#This Row],[Satisfaction Level]]="No Response","0"))))</f>
        <v>0</v>
      </c>
    </row>
    <row r="222" spans="1:15" x14ac:dyDescent="0.45">
      <c r="A222">
        <v>321</v>
      </c>
      <c r="B222" t="s">
        <v>11</v>
      </c>
      <c r="C222">
        <v>36</v>
      </c>
      <c r="D222" t="s">
        <v>24</v>
      </c>
      <c r="E222" t="s">
        <v>20</v>
      </c>
      <c r="F222">
        <v>470.5</v>
      </c>
      <c r="G222">
        <v>8</v>
      </c>
      <c r="H222">
        <v>3</v>
      </c>
      <c r="I222" t="b">
        <v>0</v>
      </c>
      <c r="J222">
        <v>18</v>
      </c>
      <c r="K222" t="s">
        <v>18</v>
      </c>
      <c r="L222" t="str" cm="1">
        <f t="array" ref="L222">_xlfn.IFS(Table1[[#This Row],[Discount Applied]]=TRUE,"Yes",Table1[[#This Row],[Discount Applied]]=FALSE,"No")</f>
        <v>No</v>
      </c>
      <c r="M222" t="str" cm="1">
        <f t="array" ref="M222">_xlfn.IFS(Table1[[#This Row],[Age]]&lt;18,"Under 18",Table1[[#This Row],[Age]]&lt;=23,"18-23",Table1[[#This Row],[Age]]&lt;=29,"24-29",Table1[[#This Row],[Age]]&lt;=35,"30-35",Table1[[#This Row],[Age]]&lt;=41,"36-41",Table1[[#This Row],[Age]]&gt;41,"Over 41")</f>
        <v>36-41</v>
      </c>
      <c r="N222" t="str" cm="1">
        <f t="array" ref="N222">_xlfn.IFS(Table1[[#This Row],[Days Since Last Purchase]]&lt;21,"Active",Table1[[#This Row],[Days Since Last Purchase]]&lt;=42,"Moderately Active",Table1[[#This Row],[Days Since Last Purchase]]&gt;=43, "Inactive")</f>
        <v>Active</v>
      </c>
      <c r="O222">
        <f>IF(K222="Satisfied",1,IF(K222="Neutral",0.5,IF(K222="Unsatisfied",0,IF(Table1[[#This Row],[Satisfaction Level]]="No Response","0"))))</f>
        <v>0.5</v>
      </c>
    </row>
    <row r="223" spans="1:15" x14ac:dyDescent="0.45">
      <c r="A223">
        <v>322</v>
      </c>
      <c r="B223" t="s">
        <v>11</v>
      </c>
      <c r="C223">
        <v>30</v>
      </c>
      <c r="D223" t="s">
        <v>12</v>
      </c>
      <c r="E223" t="s">
        <v>13</v>
      </c>
      <c r="F223">
        <v>1180.8</v>
      </c>
      <c r="G223">
        <v>16</v>
      </c>
      <c r="H223">
        <v>4.7</v>
      </c>
      <c r="I223" t="b">
        <v>1</v>
      </c>
      <c r="J223">
        <v>19</v>
      </c>
      <c r="K223" t="s">
        <v>14</v>
      </c>
      <c r="L223" t="str" cm="1">
        <f t="array" ref="L223">_xlfn.IFS(Table1[[#This Row],[Discount Applied]]=TRUE,"Yes",Table1[[#This Row],[Discount Applied]]=FALSE,"No")</f>
        <v>Yes</v>
      </c>
      <c r="M223" t="str" cm="1">
        <f t="array" ref="M223">_xlfn.IFS(Table1[[#This Row],[Age]]&lt;18,"Under 18",Table1[[#This Row],[Age]]&lt;=23,"18-23",Table1[[#This Row],[Age]]&lt;=29,"24-29",Table1[[#This Row],[Age]]&lt;=35,"30-35",Table1[[#This Row],[Age]]&lt;=41,"36-41",Table1[[#This Row],[Age]]&gt;41,"Over 41")</f>
        <v>30-35</v>
      </c>
      <c r="N223" t="str" cm="1">
        <f t="array" ref="N223">_xlfn.IFS(Table1[[#This Row],[Days Since Last Purchase]]&lt;21,"Active",Table1[[#This Row],[Days Since Last Purchase]]&lt;=42,"Moderately Active",Table1[[#This Row],[Days Since Last Purchase]]&gt;=43, "Inactive")</f>
        <v>Active</v>
      </c>
      <c r="O223">
        <f>IF(K223="Satisfied",1,IF(K223="Neutral",0.5,IF(K223="Unsatisfied",0,IF(Table1[[#This Row],[Satisfaction Level]]="No Response","0"))))</f>
        <v>1</v>
      </c>
    </row>
    <row r="224" spans="1:15" x14ac:dyDescent="0.45">
      <c r="A224">
        <v>323</v>
      </c>
      <c r="B224" t="s">
        <v>15</v>
      </c>
      <c r="C224">
        <v>34</v>
      </c>
      <c r="D224" t="s">
        <v>16</v>
      </c>
      <c r="E224" t="s">
        <v>17</v>
      </c>
      <c r="F224">
        <v>790.2</v>
      </c>
      <c r="G224">
        <v>11</v>
      </c>
      <c r="H224">
        <v>4</v>
      </c>
      <c r="I224" t="b">
        <v>0</v>
      </c>
      <c r="J224">
        <v>15</v>
      </c>
      <c r="K224" t="s">
        <v>18</v>
      </c>
      <c r="L224" t="str" cm="1">
        <f t="array" ref="L224">_xlfn.IFS(Table1[[#This Row],[Discount Applied]]=TRUE,"Yes",Table1[[#This Row],[Discount Applied]]=FALSE,"No")</f>
        <v>No</v>
      </c>
      <c r="M224" t="str" cm="1">
        <f t="array" ref="M224">_xlfn.IFS(Table1[[#This Row],[Age]]&lt;18,"Under 18",Table1[[#This Row],[Age]]&lt;=23,"18-23",Table1[[#This Row],[Age]]&lt;=29,"24-29",Table1[[#This Row],[Age]]&lt;=35,"30-35",Table1[[#This Row],[Age]]&lt;=41,"36-41",Table1[[#This Row],[Age]]&gt;41,"Over 41")</f>
        <v>30-35</v>
      </c>
      <c r="N224" t="str" cm="1">
        <f t="array" ref="N224">_xlfn.IFS(Table1[[#This Row],[Days Since Last Purchase]]&lt;21,"Active",Table1[[#This Row],[Days Since Last Purchase]]&lt;=42,"Moderately Active",Table1[[#This Row],[Days Since Last Purchase]]&gt;=43, "Inactive")</f>
        <v>Active</v>
      </c>
      <c r="O224">
        <f>IF(K224="Satisfied",1,IF(K224="Neutral",0.5,IF(K224="Unsatisfied",0,IF(Table1[[#This Row],[Satisfaction Level]]="No Response","0"))))</f>
        <v>0.5</v>
      </c>
    </row>
    <row r="225" spans="1:15" x14ac:dyDescent="0.45">
      <c r="A225">
        <v>324</v>
      </c>
      <c r="B225" t="s">
        <v>11</v>
      </c>
      <c r="C225">
        <v>43</v>
      </c>
      <c r="D225" t="s">
        <v>19</v>
      </c>
      <c r="E225" t="s">
        <v>20</v>
      </c>
      <c r="F225">
        <v>505.75</v>
      </c>
      <c r="G225">
        <v>10</v>
      </c>
      <c r="H225">
        <v>3.3</v>
      </c>
      <c r="I225" t="b">
        <v>1</v>
      </c>
      <c r="J225">
        <v>39</v>
      </c>
      <c r="K225" t="s">
        <v>21</v>
      </c>
      <c r="L225" t="str" cm="1">
        <f t="array" ref="L225">_xlfn.IFS(Table1[[#This Row],[Discount Applied]]=TRUE,"Yes",Table1[[#This Row],[Discount Applied]]=FALSE,"No")</f>
        <v>Yes</v>
      </c>
      <c r="M225" t="str" cm="1">
        <f t="array" ref="M225">_xlfn.IFS(Table1[[#This Row],[Age]]&lt;18,"Under 18",Table1[[#This Row],[Age]]&lt;=23,"18-23",Table1[[#This Row],[Age]]&lt;=29,"24-29",Table1[[#This Row],[Age]]&lt;=35,"30-35",Table1[[#This Row],[Age]]&lt;=41,"36-41",Table1[[#This Row],[Age]]&gt;41,"Over 41")</f>
        <v>Over 41</v>
      </c>
      <c r="N225" t="str" cm="1">
        <f t="array" ref="N225">_xlfn.IFS(Table1[[#This Row],[Days Since Last Purchase]]&lt;21,"Active",Table1[[#This Row],[Days Since Last Purchase]]&lt;=42,"Moderately Active",Table1[[#This Row],[Days Since Last Purchase]]&gt;=43, "Inactive")</f>
        <v>Moderately Active</v>
      </c>
      <c r="O225">
        <f>IF(K225="Satisfied",1,IF(K225="Neutral",0.5,IF(K225="Unsatisfied",0,IF(Table1[[#This Row],[Satisfaction Level]]="No Response","0"))))</f>
        <v>0</v>
      </c>
    </row>
    <row r="226" spans="1:15" x14ac:dyDescent="0.45">
      <c r="A226">
        <v>325</v>
      </c>
      <c r="B226" t="s">
        <v>15</v>
      </c>
      <c r="C226">
        <v>30</v>
      </c>
      <c r="D226" t="s">
        <v>22</v>
      </c>
      <c r="E226" t="s">
        <v>13</v>
      </c>
      <c r="F226">
        <v>1470.5</v>
      </c>
      <c r="G226">
        <v>20</v>
      </c>
      <c r="H226">
        <v>4.8</v>
      </c>
      <c r="I226" t="b">
        <v>0</v>
      </c>
      <c r="J226">
        <v>13</v>
      </c>
      <c r="K226" t="s">
        <v>14</v>
      </c>
      <c r="L226" t="str" cm="1">
        <f t="array" ref="L226">_xlfn.IFS(Table1[[#This Row],[Discount Applied]]=TRUE,"Yes",Table1[[#This Row],[Discount Applied]]=FALSE,"No")</f>
        <v>No</v>
      </c>
      <c r="M226" t="str" cm="1">
        <f t="array" ref="M226">_xlfn.IFS(Table1[[#This Row],[Age]]&lt;18,"Under 18",Table1[[#This Row],[Age]]&lt;=23,"18-23",Table1[[#This Row],[Age]]&lt;=29,"24-29",Table1[[#This Row],[Age]]&lt;=35,"30-35",Table1[[#This Row],[Age]]&lt;=41,"36-41",Table1[[#This Row],[Age]]&gt;41,"Over 41")</f>
        <v>30-35</v>
      </c>
      <c r="N226" t="str" cm="1">
        <f t="array" ref="N226">_xlfn.IFS(Table1[[#This Row],[Days Since Last Purchase]]&lt;21,"Active",Table1[[#This Row],[Days Since Last Purchase]]&lt;=42,"Moderately Active",Table1[[#This Row],[Days Since Last Purchase]]&gt;=43, "Inactive")</f>
        <v>Active</v>
      </c>
      <c r="O226">
        <f>IF(K226="Satisfied",1,IF(K226="Neutral",0.5,IF(K226="Unsatisfied",0,IF(Table1[[#This Row],[Satisfaction Level]]="No Response","0"))))</f>
        <v>1</v>
      </c>
    </row>
    <row r="227" spans="1:15" x14ac:dyDescent="0.45">
      <c r="A227">
        <v>326</v>
      </c>
      <c r="B227" t="s">
        <v>15</v>
      </c>
      <c r="C227">
        <v>27</v>
      </c>
      <c r="D227" t="s">
        <v>23</v>
      </c>
      <c r="E227" t="s">
        <v>17</v>
      </c>
      <c r="F227">
        <v>710.4</v>
      </c>
      <c r="G227">
        <v>13</v>
      </c>
      <c r="H227">
        <v>4.0999999999999996</v>
      </c>
      <c r="I227" t="b">
        <v>1</v>
      </c>
      <c r="J227">
        <v>54</v>
      </c>
      <c r="K227" t="s">
        <v>21</v>
      </c>
      <c r="L227" t="str" cm="1">
        <f t="array" ref="L227">_xlfn.IFS(Table1[[#This Row],[Discount Applied]]=TRUE,"Yes",Table1[[#This Row],[Discount Applied]]=FALSE,"No")</f>
        <v>Yes</v>
      </c>
      <c r="M227" t="str" cm="1">
        <f t="array" ref="M227">_xlfn.IFS(Table1[[#This Row],[Age]]&lt;18,"Under 18",Table1[[#This Row],[Age]]&lt;=23,"18-23",Table1[[#This Row],[Age]]&lt;=29,"24-29",Table1[[#This Row],[Age]]&lt;=35,"30-35",Table1[[#This Row],[Age]]&lt;=41,"36-41",Table1[[#This Row],[Age]]&gt;41,"Over 41")</f>
        <v>24-29</v>
      </c>
      <c r="N227" t="str" cm="1">
        <f t="array" ref="N227">_xlfn.IFS(Table1[[#This Row],[Days Since Last Purchase]]&lt;21,"Active",Table1[[#This Row],[Days Since Last Purchase]]&lt;=42,"Moderately Active",Table1[[#This Row],[Days Since Last Purchase]]&gt;=43, "Inactive")</f>
        <v>Inactive</v>
      </c>
      <c r="O227">
        <f>IF(K227="Satisfied",1,IF(K227="Neutral",0.5,IF(K227="Unsatisfied",0,IF(Table1[[#This Row],[Satisfaction Level]]="No Response","0"))))</f>
        <v>0</v>
      </c>
    </row>
    <row r="228" spans="1:15" x14ac:dyDescent="0.45">
      <c r="A228">
        <v>327</v>
      </c>
      <c r="B228" t="s">
        <v>11</v>
      </c>
      <c r="C228">
        <v>37</v>
      </c>
      <c r="D228" t="s">
        <v>24</v>
      </c>
      <c r="E228" t="s">
        <v>20</v>
      </c>
      <c r="F228">
        <v>430.8</v>
      </c>
      <c r="G228">
        <v>7</v>
      </c>
      <c r="H228">
        <v>3.4</v>
      </c>
      <c r="I228" t="b">
        <v>0</v>
      </c>
      <c r="J228">
        <v>23</v>
      </c>
      <c r="K228" t="s">
        <v>18</v>
      </c>
      <c r="L228" t="str" cm="1">
        <f t="array" ref="L228">_xlfn.IFS(Table1[[#This Row],[Discount Applied]]=TRUE,"Yes",Table1[[#This Row],[Discount Applied]]=FALSE,"No")</f>
        <v>No</v>
      </c>
      <c r="M228" t="str" cm="1">
        <f t="array" ref="M228">_xlfn.IFS(Table1[[#This Row],[Age]]&lt;18,"Under 18",Table1[[#This Row],[Age]]&lt;=23,"18-23",Table1[[#This Row],[Age]]&lt;=29,"24-29",Table1[[#This Row],[Age]]&lt;=35,"30-35",Table1[[#This Row],[Age]]&lt;=41,"36-41",Table1[[#This Row],[Age]]&gt;41,"Over 41")</f>
        <v>36-41</v>
      </c>
      <c r="N228" t="str" cm="1">
        <f t="array" ref="N228">_xlfn.IFS(Table1[[#This Row],[Days Since Last Purchase]]&lt;21,"Active",Table1[[#This Row],[Days Since Last Purchase]]&lt;=42,"Moderately Active",Table1[[#This Row],[Days Since Last Purchase]]&gt;=43, "Inactive")</f>
        <v>Moderately Active</v>
      </c>
      <c r="O228">
        <f>IF(K228="Satisfied",1,IF(K228="Neutral",0.5,IF(K228="Unsatisfied",0,IF(Table1[[#This Row],[Satisfaction Level]]="No Response","0"))))</f>
        <v>0.5</v>
      </c>
    </row>
    <row r="229" spans="1:15" x14ac:dyDescent="0.45">
      <c r="A229">
        <v>328</v>
      </c>
      <c r="B229" t="s">
        <v>11</v>
      </c>
      <c r="C229">
        <v>31</v>
      </c>
      <c r="D229" t="s">
        <v>12</v>
      </c>
      <c r="E229" t="s">
        <v>13</v>
      </c>
      <c r="F229">
        <v>1140.5999999999999</v>
      </c>
      <c r="G229">
        <v>15</v>
      </c>
      <c r="H229">
        <v>4.5</v>
      </c>
      <c r="I229" t="b">
        <v>1</v>
      </c>
      <c r="J229">
        <v>27</v>
      </c>
      <c r="K229" t="s">
        <v>14</v>
      </c>
      <c r="L229" t="str" cm="1">
        <f t="array" ref="L229">_xlfn.IFS(Table1[[#This Row],[Discount Applied]]=TRUE,"Yes",Table1[[#This Row],[Discount Applied]]=FALSE,"No")</f>
        <v>Yes</v>
      </c>
      <c r="M229" t="str" cm="1">
        <f t="array" ref="M229">_xlfn.IFS(Table1[[#This Row],[Age]]&lt;18,"Under 18",Table1[[#This Row],[Age]]&lt;=23,"18-23",Table1[[#This Row],[Age]]&lt;=29,"24-29",Table1[[#This Row],[Age]]&lt;=35,"30-35",Table1[[#This Row],[Age]]&lt;=41,"36-41",Table1[[#This Row],[Age]]&gt;41,"Over 41")</f>
        <v>30-35</v>
      </c>
      <c r="N229" t="str" cm="1">
        <f t="array" ref="N229">_xlfn.IFS(Table1[[#This Row],[Days Since Last Purchase]]&lt;21,"Active",Table1[[#This Row],[Days Since Last Purchase]]&lt;=42,"Moderately Active",Table1[[#This Row],[Days Since Last Purchase]]&gt;=43, "Inactive")</f>
        <v>Moderately Active</v>
      </c>
      <c r="O229">
        <f>IF(K229="Satisfied",1,IF(K229="Neutral",0.5,IF(K229="Unsatisfied",0,IF(Table1[[#This Row],[Satisfaction Level]]="No Response","0"))))</f>
        <v>1</v>
      </c>
    </row>
    <row r="230" spans="1:15" x14ac:dyDescent="0.45">
      <c r="A230">
        <v>329</v>
      </c>
      <c r="B230" t="s">
        <v>15</v>
      </c>
      <c r="C230">
        <v>35</v>
      </c>
      <c r="D230" t="s">
        <v>16</v>
      </c>
      <c r="E230" t="s">
        <v>17</v>
      </c>
      <c r="F230">
        <v>820.9</v>
      </c>
      <c r="G230">
        <v>12</v>
      </c>
      <c r="H230">
        <v>4.3</v>
      </c>
      <c r="I230" t="b">
        <v>0</v>
      </c>
      <c r="J230">
        <v>13</v>
      </c>
      <c r="K230" t="s">
        <v>18</v>
      </c>
      <c r="L230" t="str" cm="1">
        <f t="array" ref="L230">_xlfn.IFS(Table1[[#This Row],[Discount Applied]]=TRUE,"Yes",Table1[[#This Row],[Discount Applied]]=FALSE,"No")</f>
        <v>No</v>
      </c>
      <c r="M230" t="str" cm="1">
        <f t="array" ref="M230">_xlfn.IFS(Table1[[#This Row],[Age]]&lt;18,"Under 18",Table1[[#This Row],[Age]]&lt;=23,"18-23",Table1[[#This Row],[Age]]&lt;=29,"24-29",Table1[[#This Row],[Age]]&lt;=35,"30-35",Table1[[#This Row],[Age]]&lt;=41,"36-41",Table1[[#This Row],[Age]]&gt;41,"Over 41")</f>
        <v>30-35</v>
      </c>
      <c r="N230" t="str" cm="1">
        <f t="array" ref="N230">_xlfn.IFS(Table1[[#This Row],[Days Since Last Purchase]]&lt;21,"Active",Table1[[#This Row],[Days Since Last Purchase]]&lt;=42,"Moderately Active",Table1[[#This Row],[Days Since Last Purchase]]&gt;=43, "Inactive")</f>
        <v>Active</v>
      </c>
      <c r="O230">
        <f>IF(K230="Satisfied",1,IF(K230="Neutral",0.5,IF(K230="Unsatisfied",0,IF(Table1[[#This Row],[Satisfaction Level]]="No Response","0"))))</f>
        <v>0.5</v>
      </c>
    </row>
    <row r="231" spans="1:15" x14ac:dyDescent="0.45">
      <c r="A231">
        <v>330</v>
      </c>
      <c r="B231" t="s">
        <v>11</v>
      </c>
      <c r="C231">
        <v>41</v>
      </c>
      <c r="D231" t="s">
        <v>19</v>
      </c>
      <c r="E231" t="s">
        <v>20</v>
      </c>
      <c r="F231">
        <v>485.25</v>
      </c>
      <c r="G231">
        <v>9</v>
      </c>
      <c r="H231">
        <v>3.6</v>
      </c>
      <c r="I231" t="b">
        <v>1</v>
      </c>
      <c r="J231">
        <v>39</v>
      </c>
      <c r="K231" t="s">
        <v>21</v>
      </c>
      <c r="L231" t="str" cm="1">
        <f t="array" ref="L231">_xlfn.IFS(Table1[[#This Row],[Discount Applied]]=TRUE,"Yes",Table1[[#This Row],[Discount Applied]]=FALSE,"No")</f>
        <v>Yes</v>
      </c>
      <c r="M231" t="str" cm="1">
        <f t="array" ref="M231">_xlfn.IFS(Table1[[#This Row],[Age]]&lt;18,"Under 18",Table1[[#This Row],[Age]]&lt;=23,"18-23",Table1[[#This Row],[Age]]&lt;=29,"24-29",Table1[[#This Row],[Age]]&lt;=35,"30-35",Table1[[#This Row],[Age]]&lt;=41,"36-41",Table1[[#This Row],[Age]]&gt;41,"Over 41")</f>
        <v>36-41</v>
      </c>
      <c r="N231" t="str" cm="1">
        <f t="array" ref="N231">_xlfn.IFS(Table1[[#This Row],[Days Since Last Purchase]]&lt;21,"Active",Table1[[#This Row],[Days Since Last Purchase]]&lt;=42,"Moderately Active",Table1[[#This Row],[Days Since Last Purchase]]&gt;=43, "Inactive")</f>
        <v>Moderately Active</v>
      </c>
      <c r="O231">
        <f>IF(K231="Satisfied",1,IF(K231="Neutral",0.5,IF(K231="Unsatisfied",0,IF(Table1[[#This Row],[Satisfaction Level]]="No Response","0"))))</f>
        <v>0</v>
      </c>
    </row>
    <row r="232" spans="1:15" x14ac:dyDescent="0.45">
      <c r="A232">
        <v>331</v>
      </c>
      <c r="B232" t="s">
        <v>15</v>
      </c>
      <c r="C232">
        <v>28</v>
      </c>
      <c r="D232" t="s">
        <v>22</v>
      </c>
      <c r="E232" t="s">
        <v>13</v>
      </c>
      <c r="F232">
        <v>1500.1</v>
      </c>
      <c r="G232">
        <v>21</v>
      </c>
      <c r="H232">
        <v>4.9000000000000004</v>
      </c>
      <c r="I232" t="b">
        <v>0</v>
      </c>
      <c r="J232">
        <v>10</v>
      </c>
      <c r="K232" t="s">
        <v>14</v>
      </c>
      <c r="L232" t="str" cm="1">
        <f t="array" ref="L232">_xlfn.IFS(Table1[[#This Row],[Discount Applied]]=TRUE,"Yes",Table1[[#This Row],[Discount Applied]]=FALSE,"No")</f>
        <v>No</v>
      </c>
      <c r="M232" t="str" cm="1">
        <f t="array" ref="M232">_xlfn.IFS(Table1[[#This Row],[Age]]&lt;18,"Under 18",Table1[[#This Row],[Age]]&lt;=23,"18-23",Table1[[#This Row],[Age]]&lt;=29,"24-29",Table1[[#This Row],[Age]]&lt;=35,"30-35",Table1[[#This Row],[Age]]&lt;=41,"36-41",Table1[[#This Row],[Age]]&gt;41,"Over 41")</f>
        <v>24-29</v>
      </c>
      <c r="N232" t="str" cm="1">
        <f t="array" ref="N232">_xlfn.IFS(Table1[[#This Row],[Days Since Last Purchase]]&lt;21,"Active",Table1[[#This Row],[Days Since Last Purchase]]&lt;=42,"Moderately Active",Table1[[#This Row],[Days Since Last Purchase]]&gt;=43, "Inactive")</f>
        <v>Active</v>
      </c>
      <c r="O232">
        <f>IF(K232="Satisfied",1,IF(K232="Neutral",0.5,IF(K232="Unsatisfied",0,IF(Table1[[#This Row],[Satisfaction Level]]="No Response","0"))))</f>
        <v>1</v>
      </c>
    </row>
    <row r="233" spans="1:15" x14ac:dyDescent="0.45">
      <c r="A233">
        <v>332</v>
      </c>
      <c r="B233" t="s">
        <v>15</v>
      </c>
      <c r="C233">
        <v>32</v>
      </c>
      <c r="D233" t="s">
        <v>23</v>
      </c>
      <c r="E233" t="s">
        <v>17</v>
      </c>
      <c r="F233">
        <v>670.3</v>
      </c>
      <c r="G233">
        <v>10</v>
      </c>
      <c r="H233">
        <v>3.8</v>
      </c>
      <c r="I233" t="b">
        <v>1</v>
      </c>
      <c r="J233">
        <v>33</v>
      </c>
      <c r="K233" t="s">
        <v>21</v>
      </c>
      <c r="L233" t="str" cm="1">
        <f t="array" ref="L233">_xlfn.IFS(Table1[[#This Row],[Discount Applied]]=TRUE,"Yes",Table1[[#This Row],[Discount Applied]]=FALSE,"No")</f>
        <v>Yes</v>
      </c>
      <c r="M233" t="str" cm="1">
        <f t="array" ref="M233">_xlfn.IFS(Table1[[#This Row],[Age]]&lt;18,"Under 18",Table1[[#This Row],[Age]]&lt;=23,"18-23",Table1[[#This Row],[Age]]&lt;=29,"24-29",Table1[[#This Row],[Age]]&lt;=35,"30-35",Table1[[#This Row],[Age]]&lt;=41,"36-41",Table1[[#This Row],[Age]]&gt;41,"Over 41")</f>
        <v>30-35</v>
      </c>
      <c r="N233" t="str" cm="1">
        <f t="array" ref="N233">_xlfn.IFS(Table1[[#This Row],[Days Since Last Purchase]]&lt;21,"Active",Table1[[#This Row],[Days Since Last Purchase]]&lt;=42,"Moderately Active",Table1[[#This Row],[Days Since Last Purchase]]&gt;=43, "Inactive")</f>
        <v>Moderately Active</v>
      </c>
      <c r="O233">
        <f>IF(K233="Satisfied",1,IF(K233="Neutral",0.5,IF(K233="Unsatisfied",0,IF(Table1[[#This Row],[Satisfaction Level]]="No Response","0"))))</f>
        <v>0</v>
      </c>
    </row>
    <row r="234" spans="1:15" x14ac:dyDescent="0.45">
      <c r="A234">
        <v>333</v>
      </c>
      <c r="B234" t="s">
        <v>11</v>
      </c>
      <c r="C234">
        <v>36</v>
      </c>
      <c r="D234" t="s">
        <v>24</v>
      </c>
      <c r="E234" t="s">
        <v>20</v>
      </c>
      <c r="F234">
        <v>460.5</v>
      </c>
      <c r="G234">
        <v>8</v>
      </c>
      <c r="H234">
        <v>3.1</v>
      </c>
      <c r="I234" t="b">
        <v>0</v>
      </c>
      <c r="J234">
        <v>19</v>
      </c>
      <c r="K234" t="s">
        <v>18</v>
      </c>
      <c r="L234" t="str" cm="1">
        <f t="array" ref="L234">_xlfn.IFS(Table1[[#This Row],[Discount Applied]]=TRUE,"Yes",Table1[[#This Row],[Discount Applied]]=FALSE,"No")</f>
        <v>No</v>
      </c>
      <c r="M234" t="str" cm="1">
        <f t="array" ref="M234">_xlfn.IFS(Table1[[#This Row],[Age]]&lt;18,"Under 18",Table1[[#This Row],[Age]]&lt;=23,"18-23",Table1[[#This Row],[Age]]&lt;=29,"24-29",Table1[[#This Row],[Age]]&lt;=35,"30-35",Table1[[#This Row],[Age]]&lt;=41,"36-41",Table1[[#This Row],[Age]]&gt;41,"Over 41")</f>
        <v>36-41</v>
      </c>
      <c r="N234" t="str" cm="1">
        <f t="array" ref="N234">_xlfn.IFS(Table1[[#This Row],[Days Since Last Purchase]]&lt;21,"Active",Table1[[#This Row],[Days Since Last Purchase]]&lt;=42,"Moderately Active",Table1[[#This Row],[Days Since Last Purchase]]&gt;=43, "Inactive")</f>
        <v>Active</v>
      </c>
      <c r="O234">
        <f>IF(K234="Satisfied",1,IF(K234="Neutral",0.5,IF(K234="Unsatisfied",0,IF(Table1[[#This Row],[Satisfaction Level]]="No Response","0"))))</f>
        <v>0.5</v>
      </c>
    </row>
    <row r="235" spans="1:15" x14ac:dyDescent="0.45">
      <c r="A235">
        <v>334</v>
      </c>
      <c r="B235" t="s">
        <v>11</v>
      </c>
      <c r="C235">
        <v>30</v>
      </c>
      <c r="D235" t="s">
        <v>12</v>
      </c>
      <c r="E235" t="s">
        <v>13</v>
      </c>
      <c r="F235">
        <v>1190.8</v>
      </c>
      <c r="G235">
        <v>16</v>
      </c>
      <c r="H235">
        <v>4.5</v>
      </c>
      <c r="I235" t="b">
        <v>1</v>
      </c>
      <c r="J235">
        <v>20</v>
      </c>
      <c r="K235" t="s">
        <v>14</v>
      </c>
      <c r="L235" t="str" cm="1">
        <f t="array" ref="L235">_xlfn.IFS(Table1[[#This Row],[Discount Applied]]=TRUE,"Yes",Table1[[#This Row],[Discount Applied]]=FALSE,"No")</f>
        <v>Yes</v>
      </c>
      <c r="M235" t="str" cm="1">
        <f t="array" ref="M235">_xlfn.IFS(Table1[[#This Row],[Age]]&lt;18,"Under 18",Table1[[#This Row],[Age]]&lt;=23,"18-23",Table1[[#This Row],[Age]]&lt;=29,"24-29",Table1[[#This Row],[Age]]&lt;=35,"30-35",Table1[[#This Row],[Age]]&lt;=41,"36-41",Table1[[#This Row],[Age]]&gt;41,"Over 41")</f>
        <v>30-35</v>
      </c>
      <c r="N235" t="str" cm="1">
        <f t="array" ref="N235">_xlfn.IFS(Table1[[#This Row],[Days Since Last Purchase]]&lt;21,"Active",Table1[[#This Row],[Days Since Last Purchase]]&lt;=42,"Moderately Active",Table1[[#This Row],[Days Since Last Purchase]]&gt;=43, "Inactive")</f>
        <v>Active</v>
      </c>
      <c r="O235">
        <f>IF(K235="Satisfied",1,IF(K235="Neutral",0.5,IF(K235="Unsatisfied",0,IF(Table1[[#This Row],[Satisfaction Level]]="No Response","0"))))</f>
        <v>1</v>
      </c>
    </row>
    <row r="236" spans="1:15" x14ac:dyDescent="0.45">
      <c r="A236">
        <v>335</v>
      </c>
      <c r="B236" t="s">
        <v>15</v>
      </c>
      <c r="C236">
        <v>33</v>
      </c>
      <c r="D236" t="s">
        <v>16</v>
      </c>
      <c r="E236" t="s">
        <v>17</v>
      </c>
      <c r="F236">
        <v>830.75</v>
      </c>
      <c r="G236">
        <v>13</v>
      </c>
      <c r="H236">
        <v>4.2</v>
      </c>
      <c r="I236" t="b">
        <v>0</v>
      </c>
      <c r="J236">
        <v>14</v>
      </c>
      <c r="K236" t="s">
        <v>14</v>
      </c>
      <c r="L236" t="str" cm="1">
        <f t="array" ref="L236">_xlfn.IFS(Table1[[#This Row],[Discount Applied]]=TRUE,"Yes",Table1[[#This Row],[Discount Applied]]=FALSE,"No")</f>
        <v>No</v>
      </c>
      <c r="M236" t="str" cm="1">
        <f t="array" ref="M236">_xlfn.IFS(Table1[[#This Row],[Age]]&lt;18,"Under 18",Table1[[#This Row],[Age]]&lt;=23,"18-23",Table1[[#This Row],[Age]]&lt;=29,"24-29",Table1[[#This Row],[Age]]&lt;=35,"30-35",Table1[[#This Row],[Age]]&lt;=41,"36-41",Table1[[#This Row],[Age]]&gt;41,"Over 41")</f>
        <v>30-35</v>
      </c>
      <c r="N236" t="str" cm="1">
        <f t="array" ref="N236">_xlfn.IFS(Table1[[#This Row],[Days Since Last Purchase]]&lt;21,"Active",Table1[[#This Row],[Days Since Last Purchase]]&lt;=42,"Moderately Active",Table1[[#This Row],[Days Since Last Purchase]]&gt;=43, "Inactive")</f>
        <v>Active</v>
      </c>
      <c r="O236">
        <f>IF(K236="Satisfied",1,IF(K236="Neutral",0.5,IF(K236="Unsatisfied",0,IF(Table1[[#This Row],[Satisfaction Level]]="No Response","0"))))</f>
        <v>1</v>
      </c>
    </row>
    <row r="237" spans="1:15" x14ac:dyDescent="0.45">
      <c r="A237">
        <v>336</v>
      </c>
      <c r="B237" t="s">
        <v>11</v>
      </c>
      <c r="C237">
        <v>42</v>
      </c>
      <c r="D237" t="s">
        <v>19</v>
      </c>
      <c r="E237" t="s">
        <v>20</v>
      </c>
      <c r="F237">
        <v>520.4</v>
      </c>
      <c r="G237">
        <v>9</v>
      </c>
      <c r="H237">
        <v>3.5</v>
      </c>
      <c r="I237" t="b">
        <v>1</v>
      </c>
      <c r="J237">
        <v>37</v>
      </c>
      <c r="K237" t="s">
        <v>21</v>
      </c>
      <c r="L237" t="str" cm="1">
        <f t="array" ref="L237">_xlfn.IFS(Table1[[#This Row],[Discount Applied]]=TRUE,"Yes",Table1[[#This Row],[Discount Applied]]=FALSE,"No")</f>
        <v>Yes</v>
      </c>
      <c r="M237" t="str" cm="1">
        <f t="array" ref="M237">_xlfn.IFS(Table1[[#This Row],[Age]]&lt;18,"Under 18",Table1[[#This Row],[Age]]&lt;=23,"18-23",Table1[[#This Row],[Age]]&lt;=29,"24-29",Table1[[#This Row],[Age]]&lt;=35,"30-35",Table1[[#This Row],[Age]]&lt;=41,"36-41",Table1[[#This Row],[Age]]&gt;41,"Over 41")</f>
        <v>Over 41</v>
      </c>
      <c r="N237" t="str" cm="1">
        <f t="array" ref="N237">_xlfn.IFS(Table1[[#This Row],[Days Since Last Purchase]]&lt;21,"Active",Table1[[#This Row],[Days Since Last Purchase]]&lt;=42,"Moderately Active",Table1[[#This Row],[Days Since Last Purchase]]&gt;=43, "Inactive")</f>
        <v>Moderately Active</v>
      </c>
      <c r="O237">
        <f>IF(K237="Satisfied",1,IF(K237="Neutral",0.5,IF(K237="Unsatisfied",0,IF(Table1[[#This Row],[Satisfaction Level]]="No Response","0"))))</f>
        <v>0</v>
      </c>
    </row>
    <row r="238" spans="1:15" x14ac:dyDescent="0.45">
      <c r="A238">
        <v>337</v>
      </c>
      <c r="B238" t="s">
        <v>15</v>
      </c>
      <c r="C238">
        <v>29</v>
      </c>
      <c r="D238" t="s">
        <v>22</v>
      </c>
      <c r="E238" t="s">
        <v>13</v>
      </c>
      <c r="F238">
        <v>1370.2</v>
      </c>
      <c r="G238">
        <v>18</v>
      </c>
      <c r="H238">
        <v>4.7</v>
      </c>
      <c r="I238" t="b">
        <v>0</v>
      </c>
      <c r="J238">
        <v>10</v>
      </c>
      <c r="K238" t="s">
        <v>14</v>
      </c>
      <c r="L238" t="str" cm="1">
        <f t="array" ref="L238">_xlfn.IFS(Table1[[#This Row],[Discount Applied]]=TRUE,"Yes",Table1[[#This Row],[Discount Applied]]=FALSE,"No")</f>
        <v>No</v>
      </c>
      <c r="M238" t="str" cm="1">
        <f t="array" ref="M238">_xlfn.IFS(Table1[[#This Row],[Age]]&lt;18,"Under 18",Table1[[#This Row],[Age]]&lt;=23,"18-23",Table1[[#This Row],[Age]]&lt;=29,"24-29",Table1[[#This Row],[Age]]&lt;=35,"30-35",Table1[[#This Row],[Age]]&lt;=41,"36-41",Table1[[#This Row],[Age]]&gt;41,"Over 41")</f>
        <v>24-29</v>
      </c>
      <c r="N238" t="str" cm="1">
        <f t="array" ref="N238">_xlfn.IFS(Table1[[#This Row],[Days Since Last Purchase]]&lt;21,"Active",Table1[[#This Row],[Days Since Last Purchase]]&lt;=42,"Moderately Active",Table1[[#This Row],[Days Since Last Purchase]]&gt;=43, "Inactive")</f>
        <v>Active</v>
      </c>
      <c r="O238">
        <f>IF(K238="Satisfied",1,IF(K238="Neutral",0.5,IF(K238="Unsatisfied",0,IF(Table1[[#This Row],[Satisfaction Level]]="No Response","0"))))</f>
        <v>1</v>
      </c>
    </row>
    <row r="239" spans="1:15" x14ac:dyDescent="0.45">
      <c r="A239">
        <v>338</v>
      </c>
      <c r="B239" t="s">
        <v>15</v>
      </c>
      <c r="C239">
        <v>26</v>
      </c>
      <c r="D239" t="s">
        <v>23</v>
      </c>
      <c r="E239" t="s">
        <v>17</v>
      </c>
      <c r="F239">
        <v>690.6</v>
      </c>
      <c r="G239">
        <v>12</v>
      </c>
      <c r="H239">
        <v>3.9</v>
      </c>
      <c r="I239" t="b">
        <v>1</v>
      </c>
      <c r="J239">
        <v>47</v>
      </c>
      <c r="K239" t="s">
        <v>21</v>
      </c>
      <c r="L239" t="str" cm="1">
        <f t="array" ref="L239">_xlfn.IFS(Table1[[#This Row],[Discount Applied]]=TRUE,"Yes",Table1[[#This Row],[Discount Applied]]=FALSE,"No")</f>
        <v>Yes</v>
      </c>
      <c r="M239" t="str" cm="1">
        <f t="array" ref="M239">_xlfn.IFS(Table1[[#This Row],[Age]]&lt;18,"Under 18",Table1[[#This Row],[Age]]&lt;=23,"18-23",Table1[[#This Row],[Age]]&lt;=29,"24-29",Table1[[#This Row],[Age]]&lt;=35,"30-35",Table1[[#This Row],[Age]]&lt;=41,"36-41",Table1[[#This Row],[Age]]&gt;41,"Over 41")</f>
        <v>24-29</v>
      </c>
      <c r="N239" t="str" cm="1">
        <f t="array" ref="N239">_xlfn.IFS(Table1[[#This Row],[Days Since Last Purchase]]&lt;21,"Active",Table1[[#This Row],[Days Since Last Purchase]]&lt;=42,"Moderately Active",Table1[[#This Row],[Days Since Last Purchase]]&gt;=43, "Inactive")</f>
        <v>Inactive</v>
      </c>
      <c r="O239">
        <f>IF(K239="Satisfied",1,IF(K239="Neutral",0.5,IF(K239="Unsatisfied",0,IF(Table1[[#This Row],[Satisfaction Level]]="No Response","0"))))</f>
        <v>0</v>
      </c>
    </row>
    <row r="240" spans="1:15" x14ac:dyDescent="0.45">
      <c r="A240">
        <v>339</v>
      </c>
      <c r="B240" t="s">
        <v>11</v>
      </c>
      <c r="C240">
        <v>38</v>
      </c>
      <c r="D240" t="s">
        <v>24</v>
      </c>
      <c r="E240" t="s">
        <v>20</v>
      </c>
      <c r="F240">
        <v>440.9</v>
      </c>
      <c r="G240">
        <v>8</v>
      </c>
      <c r="H240">
        <v>3.2</v>
      </c>
      <c r="I240" t="b">
        <v>0</v>
      </c>
      <c r="J240">
        <v>24</v>
      </c>
      <c r="K240" t="s">
        <v>18</v>
      </c>
      <c r="L240" t="str" cm="1">
        <f t="array" ref="L240">_xlfn.IFS(Table1[[#This Row],[Discount Applied]]=TRUE,"Yes",Table1[[#This Row],[Discount Applied]]=FALSE,"No")</f>
        <v>No</v>
      </c>
      <c r="M240" t="str" cm="1">
        <f t="array" ref="M240">_xlfn.IFS(Table1[[#This Row],[Age]]&lt;18,"Under 18",Table1[[#This Row],[Age]]&lt;=23,"18-23",Table1[[#This Row],[Age]]&lt;=29,"24-29",Table1[[#This Row],[Age]]&lt;=35,"30-35",Table1[[#This Row],[Age]]&lt;=41,"36-41",Table1[[#This Row],[Age]]&gt;41,"Over 41")</f>
        <v>36-41</v>
      </c>
      <c r="N240" t="str" cm="1">
        <f t="array" ref="N240">_xlfn.IFS(Table1[[#This Row],[Days Since Last Purchase]]&lt;21,"Active",Table1[[#This Row],[Days Since Last Purchase]]&lt;=42,"Moderately Active",Table1[[#This Row],[Days Since Last Purchase]]&gt;=43, "Inactive")</f>
        <v>Moderately Active</v>
      </c>
      <c r="O240">
        <f>IF(K240="Satisfied",1,IF(K240="Neutral",0.5,IF(K240="Unsatisfied",0,IF(Table1[[#This Row],[Satisfaction Level]]="No Response","0"))))</f>
        <v>0.5</v>
      </c>
    </row>
    <row r="241" spans="1:15" x14ac:dyDescent="0.45">
      <c r="A241">
        <v>340</v>
      </c>
      <c r="B241" t="s">
        <v>11</v>
      </c>
      <c r="C241">
        <v>32</v>
      </c>
      <c r="D241" t="s">
        <v>12</v>
      </c>
      <c r="E241" t="s">
        <v>13</v>
      </c>
      <c r="F241">
        <v>1160.3</v>
      </c>
      <c r="G241">
        <v>14</v>
      </c>
      <c r="H241">
        <v>4.4000000000000004</v>
      </c>
      <c r="I241" t="b">
        <v>1</v>
      </c>
      <c r="J241">
        <v>22</v>
      </c>
      <c r="K241" t="s">
        <v>14</v>
      </c>
      <c r="L241" t="str" cm="1">
        <f t="array" ref="L241">_xlfn.IFS(Table1[[#This Row],[Discount Applied]]=TRUE,"Yes",Table1[[#This Row],[Discount Applied]]=FALSE,"No")</f>
        <v>Yes</v>
      </c>
      <c r="M241" t="str" cm="1">
        <f t="array" ref="M241">_xlfn.IFS(Table1[[#This Row],[Age]]&lt;18,"Under 18",Table1[[#This Row],[Age]]&lt;=23,"18-23",Table1[[#This Row],[Age]]&lt;=29,"24-29",Table1[[#This Row],[Age]]&lt;=35,"30-35",Table1[[#This Row],[Age]]&lt;=41,"36-41",Table1[[#This Row],[Age]]&gt;41,"Over 41")</f>
        <v>30-35</v>
      </c>
      <c r="N241" t="str" cm="1">
        <f t="array" ref="N241">_xlfn.IFS(Table1[[#This Row],[Days Since Last Purchase]]&lt;21,"Active",Table1[[#This Row],[Days Since Last Purchase]]&lt;=42,"Moderately Active",Table1[[#This Row],[Days Since Last Purchase]]&gt;=43, "Inactive")</f>
        <v>Moderately Active</v>
      </c>
      <c r="O241">
        <f>IF(K241="Satisfied",1,IF(K241="Neutral",0.5,IF(K241="Unsatisfied",0,IF(Table1[[#This Row],[Satisfaction Level]]="No Response","0"))))</f>
        <v>1</v>
      </c>
    </row>
    <row r="242" spans="1:15" x14ac:dyDescent="0.45">
      <c r="A242">
        <v>341</v>
      </c>
      <c r="B242" t="s">
        <v>15</v>
      </c>
      <c r="C242">
        <v>34</v>
      </c>
      <c r="D242" t="s">
        <v>16</v>
      </c>
      <c r="E242" t="s">
        <v>17</v>
      </c>
      <c r="F242">
        <v>800.2</v>
      </c>
      <c r="G242">
        <v>11</v>
      </c>
      <c r="H242">
        <v>4.0999999999999996</v>
      </c>
      <c r="I242" t="b">
        <v>0</v>
      </c>
      <c r="J242">
        <v>17</v>
      </c>
      <c r="K242" t="s">
        <v>18</v>
      </c>
      <c r="L242" t="str" cm="1">
        <f t="array" ref="L242">_xlfn.IFS(Table1[[#This Row],[Discount Applied]]=TRUE,"Yes",Table1[[#This Row],[Discount Applied]]=FALSE,"No")</f>
        <v>No</v>
      </c>
      <c r="M242" t="str" cm="1">
        <f t="array" ref="M242">_xlfn.IFS(Table1[[#This Row],[Age]]&lt;18,"Under 18",Table1[[#This Row],[Age]]&lt;=23,"18-23",Table1[[#This Row],[Age]]&lt;=29,"24-29",Table1[[#This Row],[Age]]&lt;=35,"30-35",Table1[[#This Row],[Age]]&lt;=41,"36-41",Table1[[#This Row],[Age]]&gt;41,"Over 41")</f>
        <v>30-35</v>
      </c>
      <c r="N242" t="str" cm="1">
        <f t="array" ref="N242">_xlfn.IFS(Table1[[#This Row],[Days Since Last Purchase]]&lt;21,"Active",Table1[[#This Row],[Days Since Last Purchase]]&lt;=42,"Moderately Active",Table1[[#This Row],[Days Since Last Purchase]]&gt;=43, "Inactive")</f>
        <v>Active</v>
      </c>
      <c r="O242">
        <f>IF(K242="Satisfied",1,IF(K242="Neutral",0.5,IF(K242="Unsatisfied",0,IF(Table1[[#This Row],[Satisfaction Level]]="No Response","0"))))</f>
        <v>0.5</v>
      </c>
    </row>
    <row r="243" spans="1:15" x14ac:dyDescent="0.45">
      <c r="A243">
        <v>342</v>
      </c>
      <c r="B243" t="s">
        <v>11</v>
      </c>
      <c r="C243">
        <v>43</v>
      </c>
      <c r="D243" t="s">
        <v>19</v>
      </c>
      <c r="E243" t="s">
        <v>20</v>
      </c>
      <c r="F243">
        <v>525.75</v>
      </c>
      <c r="G243">
        <v>9</v>
      </c>
      <c r="H243">
        <v>3.3</v>
      </c>
      <c r="I243" t="b">
        <v>1</v>
      </c>
      <c r="J243">
        <v>40</v>
      </c>
      <c r="K243" t="s">
        <v>21</v>
      </c>
      <c r="L243" t="str" cm="1">
        <f t="array" ref="L243">_xlfn.IFS(Table1[[#This Row],[Discount Applied]]=TRUE,"Yes",Table1[[#This Row],[Discount Applied]]=FALSE,"No")</f>
        <v>Yes</v>
      </c>
      <c r="M243" t="str" cm="1">
        <f t="array" ref="M243">_xlfn.IFS(Table1[[#This Row],[Age]]&lt;18,"Under 18",Table1[[#This Row],[Age]]&lt;=23,"18-23",Table1[[#This Row],[Age]]&lt;=29,"24-29",Table1[[#This Row],[Age]]&lt;=35,"30-35",Table1[[#This Row],[Age]]&lt;=41,"36-41",Table1[[#This Row],[Age]]&gt;41,"Over 41")</f>
        <v>Over 41</v>
      </c>
      <c r="N243" t="str" cm="1">
        <f t="array" ref="N243">_xlfn.IFS(Table1[[#This Row],[Days Since Last Purchase]]&lt;21,"Active",Table1[[#This Row],[Days Since Last Purchase]]&lt;=42,"Moderately Active",Table1[[#This Row],[Days Since Last Purchase]]&gt;=43, "Inactive")</f>
        <v>Moderately Active</v>
      </c>
      <c r="O243">
        <f>IF(K243="Satisfied",1,IF(K243="Neutral",0.5,IF(K243="Unsatisfied",0,IF(Table1[[#This Row],[Satisfaction Level]]="No Response","0"))))</f>
        <v>0</v>
      </c>
    </row>
    <row r="244" spans="1:15" x14ac:dyDescent="0.45">
      <c r="A244">
        <v>343</v>
      </c>
      <c r="B244" t="s">
        <v>15</v>
      </c>
      <c r="C244">
        <v>30</v>
      </c>
      <c r="D244" t="s">
        <v>22</v>
      </c>
      <c r="E244" t="s">
        <v>13</v>
      </c>
      <c r="F244">
        <v>1460.5</v>
      </c>
      <c r="G244">
        <v>20</v>
      </c>
      <c r="H244">
        <v>4.8</v>
      </c>
      <c r="I244" t="b">
        <v>0</v>
      </c>
      <c r="J244">
        <v>11</v>
      </c>
      <c r="K244" t="s">
        <v>14</v>
      </c>
      <c r="L244" t="str" cm="1">
        <f t="array" ref="L244">_xlfn.IFS(Table1[[#This Row],[Discount Applied]]=TRUE,"Yes",Table1[[#This Row],[Discount Applied]]=FALSE,"No")</f>
        <v>No</v>
      </c>
      <c r="M244" t="str" cm="1">
        <f t="array" ref="M244">_xlfn.IFS(Table1[[#This Row],[Age]]&lt;18,"Under 18",Table1[[#This Row],[Age]]&lt;=23,"18-23",Table1[[#This Row],[Age]]&lt;=29,"24-29",Table1[[#This Row],[Age]]&lt;=35,"30-35",Table1[[#This Row],[Age]]&lt;=41,"36-41",Table1[[#This Row],[Age]]&gt;41,"Over 41")</f>
        <v>30-35</v>
      </c>
      <c r="N244" t="str" cm="1">
        <f t="array" ref="N244">_xlfn.IFS(Table1[[#This Row],[Days Since Last Purchase]]&lt;21,"Active",Table1[[#This Row],[Days Since Last Purchase]]&lt;=42,"Moderately Active",Table1[[#This Row],[Days Since Last Purchase]]&gt;=43, "Inactive")</f>
        <v>Active</v>
      </c>
      <c r="O244">
        <f>IF(K244="Satisfied",1,IF(K244="Neutral",0.5,IF(K244="Unsatisfied",0,IF(Table1[[#This Row],[Satisfaction Level]]="No Response","0"))))</f>
        <v>1</v>
      </c>
    </row>
    <row r="245" spans="1:15" x14ac:dyDescent="0.45">
      <c r="A245">
        <v>344</v>
      </c>
      <c r="B245" t="s">
        <v>15</v>
      </c>
      <c r="C245">
        <v>27</v>
      </c>
      <c r="D245" t="s">
        <v>23</v>
      </c>
      <c r="E245" t="s">
        <v>17</v>
      </c>
      <c r="F245">
        <v>720.4</v>
      </c>
      <c r="G245">
        <v>13</v>
      </c>
      <c r="H245">
        <v>4</v>
      </c>
      <c r="I245" t="b">
        <v>1</v>
      </c>
      <c r="J245">
        <v>55</v>
      </c>
      <c r="K245" t="s">
        <v>21</v>
      </c>
      <c r="L245" t="str" cm="1">
        <f t="array" ref="L245">_xlfn.IFS(Table1[[#This Row],[Discount Applied]]=TRUE,"Yes",Table1[[#This Row],[Discount Applied]]=FALSE,"No")</f>
        <v>Yes</v>
      </c>
      <c r="M245" t="str" cm="1">
        <f t="array" ref="M245">_xlfn.IFS(Table1[[#This Row],[Age]]&lt;18,"Under 18",Table1[[#This Row],[Age]]&lt;=23,"18-23",Table1[[#This Row],[Age]]&lt;=29,"24-29",Table1[[#This Row],[Age]]&lt;=35,"30-35",Table1[[#This Row],[Age]]&lt;=41,"36-41",Table1[[#This Row],[Age]]&gt;41,"Over 41")</f>
        <v>24-29</v>
      </c>
      <c r="N245" t="str" cm="1">
        <f t="array" ref="N245">_xlfn.IFS(Table1[[#This Row],[Days Since Last Purchase]]&lt;21,"Active",Table1[[#This Row],[Days Since Last Purchase]]&lt;=42,"Moderately Active",Table1[[#This Row],[Days Since Last Purchase]]&gt;=43, "Inactive")</f>
        <v>Inactive</v>
      </c>
      <c r="O245">
        <f>IF(K245="Satisfied",1,IF(K245="Neutral",0.5,IF(K245="Unsatisfied",0,IF(Table1[[#This Row],[Satisfaction Level]]="No Response","0"))))</f>
        <v>0</v>
      </c>
    </row>
    <row r="246" spans="1:15" x14ac:dyDescent="0.45">
      <c r="A246">
        <v>345</v>
      </c>
      <c r="B246" t="s">
        <v>11</v>
      </c>
      <c r="C246">
        <v>37</v>
      </c>
      <c r="D246" t="s">
        <v>24</v>
      </c>
      <c r="E246" t="s">
        <v>20</v>
      </c>
      <c r="F246">
        <v>440.8</v>
      </c>
      <c r="G246">
        <v>7</v>
      </c>
      <c r="H246">
        <v>3.2</v>
      </c>
      <c r="I246" t="b">
        <v>0</v>
      </c>
      <c r="J246">
        <v>25</v>
      </c>
      <c r="K246" t="s">
        <v>18</v>
      </c>
      <c r="L246" t="str" cm="1">
        <f t="array" ref="L246">_xlfn.IFS(Table1[[#This Row],[Discount Applied]]=TRUE,"Yes",Table1[[#This Row],[Discount Applied]]=FALSE,"No")</f>
        <v>No</v>
      </c>
      <c r="M246" t="str" cm="1">
        <f t="array" ref="M246">_xlfn.IFS(Table1[[#This Row],[Age]]&lt;18,"Under 18",Table1[[#This Row],[Age]]&lt;=23,"18-23",Table1[[#This Row],[Age]]&lt;=29,"24-29",Table1[[#This Row],[Age]]&lt;=35,"30-35",Table1[[#This Row],[Age]]&lt;=41,"36-41",Table1[[#This Row],[Age]]&gt;41,"Over 41")</f>
        <v>36-41</v>
      </c>
      <c r="N246" t="str" cm="1">
        <f t="array" ref="N246">_xlfn.IFS(Table1[[#This Row],[Days Since Last Purchase]]&lt;21,"Active",Table1[[#This Row],[Days Since Last Purchase]]&lt;=42,"Moderately Active",Table1[[#This Row],[Days Since Last Purchase]]&gt;=43, "Inactive")</f>
        <v>Moderately Active</v>
      </c>
      <c r="O246">
        <f>IF(K246="Satisfied",1,IF(K246="Neutral",0.5,IF(K246="Unsatisfied",0,IF(Table1[[#This Row],[Satisfaction Level]]="No Response","0"))))</f>
        <v>0.5</v>
      </c>
    </row>
    <row r="247" spans="1:15" x14ac:dyDescent="0.45">
      <c r="A247">
        <v>346</v>
      </c>
      <c r="B247" t="s">
        <v>11</v>
      </c>
      <c r="C247">
        <v>31</v>
      </c>
      <c r="D247" t="s">
        <v>12</v>
      </c>
      <c r="E247" t="s">
        <v>13</v>
      </c>
      <c r="F247">
        <v>1150.5999999999999</v>
      </c>
      <c r="G247">
        <v>15</v>
      </c>
      <c r="H247">
        <v>4.5</v>
      </c>
      <c r="I247" t="b">
        <v>1</v>
      </c>
      <c r="J247">
        <v>28</v>
      </c>
      <c r="K247" t="s">
        <v>14</v>
      </c>
      <c r="L247" t="str" cm="1">
        <f t="array" ref="L247">_xlfn.IFS(Table1[[#This Row],[Discount Applied]]=TRUE,"Yes",Table1[[#This Row],[Discount Applied]]=FALSE,"No")</f>
        <v>Yes</v>
      </c>
      <c r="M247" t="str" cm="1">
        <f t="array" ref="M247">_xlfn.IFS(Table1[[#This Row],[Age]]&lt;18,"Under 18",Table1[[#This Row],[Age]]&lt;=23,"18-23",Table1[[#This Row],[Age]]&lt;=29,"24-29",Table1[[#This Row],[Age]]&lt;=35,"30-35",Table1[[#This Row],[Age]]&lt;=41,"36-41",Table1[[#This Row],[Age]]&gt;41,"Over 41")</f>
        <v>30-35</v>
      </c>
      <c r="N247" t="str" cm="1">
        <f t="array" ref="N247">_xlfn.IFS(Table1[[#This Row],[Days Since Last Purchase]]&lt;21,"Active",Table1[[#This Row],[Days Since Last Purchase]]&lt;=42,"Moderately Active",Table1[[#This Row],[Days Since Last Purchase]]&gt;=43, "Inactive")</f>
        <v>Moderately Active</v>
      </c>
      <c r="O247">
        <f>IF(K247="Satisfied",1,IF(K247="Neutral",0.5,IF(K247="Unsatisfied",0,IF(Table1[[#This Row],[Satisfaction Level]]="No Response","0"))))</f>
        <v>1</v>
      </c>
    </row>
    <row r="248" spans="1:15" x14ac:dyDescent="0.45">
      <c r="A248">
        <v>347</v>
      </c>
      <c r="B248" t="s">
        <v>15</v>
      </c>
      <c r="C248">
        <v>35</v>
      </c>
      <c r="D248" t="s">
        <v>16</v>
      </c>
      <c r="E248" t="s">
        <v>17</v>
      </c>
      <c r="F248">
        <v>830.9</v>
      </c>
      <c r="G248">
        <v>12</v>
      </c>
      <c r="H248">
        <v>4.3</v>
      </c>
      <c r="I248" t="b">
        <v>0</v>
      </c>
      <c r="J248">
        <v>14</v>
      </c>
      <c r="K248" t="s">
        <v>18</v>
      </c>
      <c r="L248" t="str" cm="1">
        <f t="array" ref="L248">_xlfn.IFS(Table1[[#This Row],[Discount Applied]]=TRUE,"Yes",Table1[[#This Row],[Discount Applied]]=FALSE,"No")</f>
        <v>No</v>
      </c>
      <c r="M248" t="str" cm="1">
        <f t="array" ref="M248">_xlfn.IFS(Table1[[#This Row],[Age]]&lt;18,"Under 18",Table1[[#This Row],[Age]]&lt;=23,"18-23",Table1[[#This Row],[Age]]&lt;=29,"24-29",Table1[[#This Row],[Age]]&lt;=35,"30-35",Table1[[#This Row],[Age]]&lt;=41,"36-41",Table1[[#This Row],[Age]]&gt;41,"Over 41")</f>
        <v>30-35</v>
      </c>
      <c r="N248" t="str" cm="1">
        <f t="array" ref="N248">_xlfn.IFS(Table1[[#This Row],[Days Since Last Purchase]]&lt;21,"Active",Table1[[#This Row],[Days Since Last Purchase]]&lt;=42,"Moderately Active",Table1[[#This Row],[Days Since Last Purchase]]&gt;=43, "Inactive")</f>
        <v>Active</v>
      </c>
      <c r="O248">
        <f>IF(K248="Satisfied",1,IF(K248="Neutral",0.5,IF(K248="Unsatisfied",0,IF(Table1[[#This Row],[Satisfaction Level]]="No Response","0"))))</f>
        <v>0.5</v>
      </c>
    </row>
    <row r="249" spans="1:15" x14ac:dyDescent="0.45">
      <c r="A249">
        <v>348</v>
      </c>
      <c r="B249" t="s">
        <v>11</v>
      </c>
      <c r="C249">
        <v>41</v>
      </c>
      <c r="D249" t="s">
        <v>19</v>
      </c>
      <c r="E249" t="s">
        <v>20</v>
      </c>
      <c r="F249">
        <v>490.25</v>
      </c>
      <c r="G249">
        <v>9</v>
      </c>
      <c r="H249">
        <v>3.6</v>
      </c>
      <c r="I249" t="b">
        <v>1</v>
      </c>
      <c r="J249">
        <v>40</v>
      </c>
      <c r="K249" t="s">
        <v>21</v>
      </c>
      <c r="L249" t="str" cm="1">
        <f t="array" ref="L249">_xlfn.IFS(Table1[[#This Row],[Discount Applied]]=TRUE,"Yes",Table1[[#This Row],[Discount Applied]]=FALSE,"No")</f>
        <v>Yes</v>
      </c>
      <c r="M249" t="str" cm="1">
        <f t="array" ref="M249">_xlfn.IFS(Table1[[#This Row],[Age]]&lt;18,"Under 18",Table1[[#This Row],[Age]]&lt;=23,"18-23",Table1[[#This Row],[Age]]&lt;=29,"24-29",Table1[[#This Row],[Age]]&lt;=35,"30-35",Table1[[#This Row],[Age]]&lt;=41,"36-41",Table1[[#This Row],[Age]]&gt;41,"Over 41")</f>
        <v>36-41</v>
      </c>
      <c r="N249" t="str" cm="1">
        <f t="array" ref="N249">_xlfn.IFS(Table1[[#This Row],[Days Since Last Purchase]]&lt;21,"Active",Table1[[#This Row],[Days Since Last Purchase]]&lt;=42,"Moderately Active",Table1[[#This Row],[Days Since Last Purchase]]&gt;=43, "Inactive")</f>
        <v>Moderately Active</v>
      </c>
      <c r="O249">
        <f>IF(K249="Satisfied",1,IF(K249="Neutral",0.5,IF(K249="Unsatisfied",0,IF(Table1[[#This Row],[Satisfaction Level]]="No Response","0"))))</f>
        <v>0</v>
      </c>
    </row>
    <row r="250" spans="1:15" x14ac:dyDescent="0.45">
      <c r="A250">
        <v>349</v>
      </c>
      <c r="B250" t="s">
        <v>15</v>
      </c>
      <c r="C250">
        <v>28</v>
      </c>
      <c r="D250" t="s">
        <v>22</v>
      </c>
      <c r="E250" t="s">
        <v>13</v>
      </c>
      <c r="F250">
        <v>1480.1</v>
      </c>
      <c r="G250">
        <v>21</v>
      </c>
      <c r="H250">
        <v>4.9000000000000004</v>
      </c>
      <c r="I250" t="b">
        <v>0</v>
      </c>
      <c r="J250">
        <v>10</v>
      </c>
      <c r="K250" t="s">
        <v>14</v>
      </c>
      <c r="L250" t="str" cm="1">
        <f t="array" ref="L250">_xlfn.IFS(Table1[[#This Row],[Discount Applied]]=TRUE,"Yes",Table1[[#This Row],[Discount Applied]]=FALSE,"No")</f>
        <v>No</v>
      </c>
      <c r="M250" t="str" cm="1">
        <f t="array" ref="M250">_xlfn.IFS(Table1[[#This Row],[Age]]&lt;18,"Under 18",Table1[[#This Row],[Age]]&lt;=23,"18-23",Table1[[#This Row],[Age]]&lt;=29,"24-29",Table1[[#This Row],[Age]]&lt;=35,"30-35",Table1[[#This Row],[Age]]&lt;=41,"36-41",Table1[[#This Row],[Age]]&gt;41,"Over 41")</f>
        <v>24-29</v>
      </c>
      <c r="N250" t="str" cm="1">
        <f t="array" ref="N250">_xlfn.IFS(Table1[[#This Row],[Days Since Last Purchase]]&lt;21,"Active",Table1[[#This Row],[Days Since Last Purchase]]&lt;=42,"Moderately Active",Table1[[#This Row],[Days Since Last Purchase]]&gt;=43, "Inactive")</f>
        <v>Active</v>
      </c>
      <c r="O250">
        <f>IF(K250="Satisfied",1,IF(K250="Neutral",0.5,IF(K250="Unsatisfied",0,IF(Table1[[#This Row],[Satisfaction Level]]="No Response","0"))))</f>
        <v>1</v>
      </c>
    </row>
    <row r="251" spans="1:15" x14ac:dyDescent="0.45">
      <c r="A251">
        <v>350</v>
      </c>
      <c r="B251" t="s">
        <v>15</v>
      </c>
      <c r="C251">
        <v>32</v>
      </c>
      <c r="D251" t="s">
        <v>23</v>
      </c>
      <c r="E251" t="s">
        <v>17</v>
      </c>
      <c r="F251">
        <v>690.3</v>
      </c>
      <c r="G251">
        <v>10</v>
      </c>
      <c r="H251">
        <v>3.8</v>
      </c>
      <c r="I251" t="b">
        <v>1</v>
      </c>
      <c r="J251">
        <v>34</v>
      </c>
      <c r="K251" t="s">
        <v>21</v>
      </c>
      <c r="L251" t="str" cm="1">
        <f t="array" ref="L251">_xlfn.IFS(Table1[[#This Row],[Discount Applied]]=TRUE,"Yes",Table1[[#This Row],[Discount Applied]]=FALSE,"No")</f>
        <v>Yes</v>
      </c>
      <c r="M251" t="str" cm="1">
        <f t="array" ref="M251">_xlfn.IFS(Table1[[#This Row],[Age]]&lt;18,"Under 18",Table1[[#This Row],[Age]]&lt;=23,"18-23",Table1[[#This Row],[Age]]&lt;=29,"24-29",Table1[[#This Row],[Age]]&lt;=35,"30-35",Table1[[#This Row],[Age]]&lt;=41,"36-41",Table1[[#This Row],[Age]]&gt;41,"Over 41")</f>
        <v>30-35</v>
      </c>
      <c r="N251" t="str" cm="1">
        <f t="array" ref="N251">_xlfn.IFS(Table1[[#This Row],[Days Since Last Purchase]]&lt;21,"Active",Table1[[#This Row],[Days Since Last Purchase]]&lt;=42,"Moderately Active",Table1[[#This Row],[Days Since Last Purchase]]&gt;=43, "Inactive")</f>
        <v>Moderately Active</v>
      </c>
      <c r="O251">
        <f>IF(K251="Satisfied",1,IF(K251="Neutral",0.5,IF(K251="Unsatisfied",0,IF(Table1[[#This Row],[Satisfaction Level]]="No Response","0"))))</f>
        <v>0</v>
      </c>
    </row>
    <row r="252" spans="1:15" x14ac:dyDescent="0.45">
      <c r="A252">
        <v>351</v>
      </c>
      <c r="B252" t="s">
        <v>11</v>
      </c>
      <c r="C252">
        <v>36</v>
      </c>
      <c r="D252" t="s">
        <v>24</v>
      </c>
      <c r="E252" t="s">
        <v>20</v>
      </c>
      <c r="F252">
        <v>480.5</v>
      </c>
      <c r="G252">
        <v>8</v>
      </c>
      <c r="H252">
        <v>3.1</v>
      </c>
      <c r="I252" t="b">
        <v>0</v>
      </c>
      <c r="J252">
        <v>20</v>
      </c>
      <c r="K252" t="s">
        <v>18</v>
      </c>
      <c r="L252" t="str" cm="1">
        <f t="array" ref="L252">_xlfn.IFS(Table1[[#This Row],[Discount Applied]]=TRUE,"Yes",Table1[[#This Row],[Discount Applied]]=FALSE,"No")</f>
        <v>No</v>
      </c>
      <c r="M252" t="str" cm="1">
        <f t="array" ref="M252">_xlfn.IFS(Table1[[#This Row],[Age]]&lt;18,"Under 18",Table1[[#This Row],[Age]]&lt;=23,"18-23",Table1[[#This Row],[Age]]&lt;=29,"24-29",Table1[[#This Row],[Age]]&lt;=35,"30-35",Table1[[#This Row],[Age]]&lt;=41,"36-41",Table1[[#This Row],[Age]]&gt;41,"Over 41")</f>
        <v>36-41</v>
      </c>
      <c r="N252" t="str" cm="1">
        <f t="array" ref="N252">_xlfn.IFS(Table1[[#This Row],[Days Since Last Purchase]]&lt;21,"Active",Table1[[#This Row],[Days Since Last Purchase]]&lt;=42,"Moderately Active",Table1[[#This Row],[Days Since Last Purchase]]&gt;=43, "Inactive")</f>
        <v>Active</v>
      </c>
      <c r="O252">
        <f>IF(K252="Satisfied",1,IF(K252="Neutral",0.5,IF(K252="Unsatisfied",0,IF(Table1[[#This Row],[Satisfaction Level]]="No Response","0"))))</f>
        <v>0.5</v>
      </c>
    </row>
    <row r="253" spans="1:15" x14ac:dyDescent="0.45">
      <c r="A253">
        <v>352</v>
      </c>
      <c r="B253" t="s">
        <v>11</v>
      </c>
      <c r="C253">
        <v>30</v>
      </c>
      <c r="D253" t="s">
        <v>12</v>
      </c>
      <c r="E253" t="s">
        <v>13</v>
      </c>
      <c r="F253">
        <v>1170.8</v>
      </c>
      <c r="G253">
        <v>16</v>
      </c>
      <c r="H253">
        <v>4.7</v>
      </c>
      <c r="I253" t="b">
        <v>1</v>
      </c>
      <c r="J253">
        <v>21</v>
      </c>
      <c r="K253" t="s">
        <v>14</v>
      </c>
      <c r="L253" t="str" cm="1">
        <f t="array" ref="L253">_xlfn.IFS(Table1[[#This Row],[Discount Applied]]=TRUE,"Yes",Table1[[#This Row],[Discount Applied]]=FALSE,"No")</f>
        <v>Yes</v>
      </c>
      <c r="M253" t="str" cm="1">
        <f t="array" ref="M253">_xlfn.IFS(Table1[[#This Row],[Age]]&lt;18,"Under 18",Table1[[#This Row],[Age]]&lt;=23,"18-23",Table1[[#This Row],[Age]]&lt;=29,"24-29",Table1[[#This Row],[Age]]&lt;=35,"30-35",Table1[[#This Row],[Age]]&lt;=41,"36-41",Table1[[#This Row],[Age]]&gt;41,"Over 41")</f>
        <v>30-35</v>
      </c>
      <c r="N253" t="str" cm="1">
        <f t="array" ref="N253">_xlfn.IFS(Table1[[#This Row],[Days Since Last Purchase]]&lt;21,"Active",Table1[[#This Row],[Days Since Last Purchase]]&lt;=42,"Moderately Active",Table1[[#This Row],[Days Since Last Purchase]]&gt;=43, "Inactive")</f>
        <v>Moderately Active</v>
      </c>
      <c r="O253">
        <f>IF(K253="Satisfied",1,IF(K253="Neutral",0.5,IF(K253="Unsatisfied",0,IF(Table1[[#This Row],[Satisfaction Level]]="No Response","0"))))</f>
        <v>1</v>
      </c>
    </row>
    <row r="254" spans="1:15" x14ac:dyDescent="0.45">
      <c r="A254">
        <v>353</v>
      </c>
      <c r="B254" t="s">
        <v>15</v>
      </c>
      <c r="C254">
        <v>34</v>
      </c>
      <c r="D254" t="s">
        <v>16</v>
      </c>
      <c r="E254" t="s">
        <v>17</v>
      </c>
      <c r="F254">
        <v>790.2</v>
      </c>
      <c r="G254">
        <v>11</v>
      </c>
      <c r="H254">
        <v>4</v>
      </c>
      <c r="I254" t="b">
        <v>0</v>
      </c>
      <c r="J254">
        <v>15</v>
      </c>
      <c r="K254" t="s">
        <v>18</v>
      </c>
      <c r="L254" t="str" cm="1">
        <f t="array" ref="L254">_xlfn.IFS(Table1[[#This Row],[Discount Applied]]=TRUE,"Yes",Table1[[#This Row],[Discount Applied]]=FALSE,"No")</f>
        <v>No</v>
      </c>
      <c r="M254" t="str" cm="1">
        <f t="array" ref="M254">_xlfn.IFS(Table1[[#This Row],[Age]]&lt;18,"Under 18",Table1[[#This Row],[Age]]&lt;=23,"18-23",Table1[[#This Row],[Age]]&lt;=29,"24-29",Table1[[#This Row],[Age]]&lt;=35,"30-35",Table1[[#This Row],[Age]]&lt;=41,"36-41",Table1[[#This Row],[Age]]&gt;41,"Over 41")</f>
        <v>30-35</v>
      </c>
      <c r="N254" t="str" cm="1">
        <f t="array" ref="N254">_xlfn.IFS(Table1[[#This Row],[Days Since Last Purchase]]&lt;21,"Active",Table1[[#This Row],[Days Since Last Purchase]]&lt;=42,"Moderately Active",Table1[[#This Row],[Days Since Last Purchase]]&gt;=43, "Inactive")</f>
        <v>Active</v>
      </c>
      <c r="O254">
        <f>IF(K254="Satisfied",1,IF(K254="Neutral",0.5,IF(K254="Unsatisfied",0,IF(Table1[[#This Row],[Satisfaction Level]]="No Response","0"))))</f>
        <v>0.5</v>
      </c>
    </row>
    <row r="255" spans="1:15" x14ac:dyDescent="0.45">
      <c r="A255">
        <v>354</v>
      </c>
      <c r="B255" t="s">
        <v>11</v>
      </c>
      <c r="C255">
        <v>43</v>
      </c>
      <c r="D255" t="s">
        <v>19</v>
      </c>
      <c r="E255" t="s">
        <v>20</v>
      </c>
      <c r="F255">
        <v>510.75</v>
      </c>
      <c r="G255">
        <v>10</v>
      </c>
      <c r="H255">
        <v>3.3</v>
      </c>
      <c r="I255" t="b">
        <v>1</v>
      </c>
      <c r="J255">
        <v>41</v>
      </c>
      <c r="K255" t="s">
        <v>21</v>
      </c>
      <c r="L255" t="str" cm="1">
        <f t="array" ref="L255">_xlfn.IFS(Table1[[#This Row],[Discount Applied]]=TRUE,"Yes",Table1[[#This Row],[Discount Applied]]=FALSE,"No")</f>
        <v>Yes</v>
      </c>
      <c r="M255" t="str" cm="1">
        <f t="array" ref="M255">_xlfn.IFS(Table1[[#This Row],[Age]]&lt;18,"Under 18",Table1[[#This Row],[Age]]&lt;=23,"18-23",Table1[[#This Row],[Age]]&lt;=29,"24-29",Table1[[#This Row],[Age]]&lt;=35,"30-35",Table1[[#This Row],[Age]]&lt;=41,"36-41",Table1[[#This Row],[Age]]&gt;41,"Over 41")</f>
        <v>Over 41</v>
      </c>
      <c r="N255" t="str" cm="1">
        <f t="array" ref="N255">_xlfn.IFS(Table1[[#This Row],[Days Since Last Purchase]]&lt;21,"Active",Table1[[#This Row],[Days Since Last Purchase]]&lt;=42,"Moderately Active",Table1[[#This Row],[Days Since Last Purchase]]&gt;=43, "Inactive")</f>
        <v>Moderately Active</v>
      </c>
      <c r="O255">
        <f>IF(K255="Satisfied",1,IF(K255="Neutral",0.5,IF(K255="Unsatisfied",0,IF(Table1[[#This Row],[Satisfaction Level]]="No Response","0"))))</f>
        <v>0</v>
      </c>
    </row>
    <row r="256" spans="1:15" x14ac:dyDescent="0.45">
      <c r="A256">
        <v>355</v>
      </c>
      <c r="B256" t="s">
        <v>15</v>
      </c>
      <c r="C256">
        <v>30</v>
      </c>
      <c r="D256" t="s">
        <v>22</v>
      </c>
      <c r="E256" t="s">
        <v>13</v>
      </c>
      <c r="F256">
        <v>1440.5</v>
      </c>
      <c r="G256">
        <v>19</v>
      </c>
      <c r="H256">
        <v>4.5999999999999996</v>
      </c>
      <c r="I256" t="b">
        <v>0</v>
      </c>
      <c r="J256">
        <v>12</v>
      </c>
      <c r="K256" t="s">
        <v>14</v>
      </c>
      <c r="L256" t="str" cm="1">
        <f t="array" ref="L256">_xlfn.IFS(Table1[[#This Row],[Discount Applied]]=TRUE,"Yes",Table1[[#This Row],[Discount Applied]]=FALSE,"No")</f>
        <v>No</v>
      </c>
      <c r="M256" t="str" cm="1">
        <f t="array" ref="M256">_xlfn.IFS(Table1[[#This Row],[Age]]&lt;18,"Under 18",Table1[[#This Row],[Age]]&lt;=23,"18-23",Table1[[#This Row],[Age]]&lt;=29,"24-29",Table1[[#This Row],[Age]]&lt;=35,"30-35",Table1[[#This Row],[Age]]&lt;=41,"36-41",Table1[[#This Row],[Age]]&gt;41,"Over 41")</f>
        <v>30-35</v>
      </c>
      <c r="N256" t="str" cm="1">
        <f t="array" ref="N256">_xlfn.IFS(Table1[[#This Row],[Days Since Last Purchase]]&lt;21,"Active",Table1[[#This Row],[Days Since Last Purchase]]&lt;=42,"Moderately Active",Table1[[#This Row],[Days Since Last Purchase]]&gt;=43, "Inactive")</f>
        <v>Active</v>
      </c>
      <c r="O256">
        <f>IF(K256="Satisfied",1,IF(K256="Neutral",0.5,IF(K256="Unsatisfied",0,IF(Table1[[#This Row],[Satisfaction Level]]="No Response","0"))))</f>
        <v>1</v>
      </c>
    </row>
    <row r="257" spans="1:15" x14ac:dyDescent="0.45">
      <c r="A257">
        <v>356</v>
      </c>
      <c r="B257" t="s">
        <v>15</v>
      </c>
      <c r="C257">
        <v>27</v>
      </c>
      <c r="D257" t="s">
        <v>23</v>
      </c>
      <c r="E257" t="s">
        <v>17</v>
      </c>
      <c r="F257">
        <v>700.4</v>
      </c>
      <c r="G257">
        <v>13</v>
      </c>
      <c r="H257">
        <v>4.0999999999999996</v>
      </c>
      <c r="I257" t="b">
        <v>1</v>
      </c>
      <c r="J257">
        <v>56</v>
      </c>
      <c r="K257" t="s">
        <v>21</v>
      </c>
      <c r="L257" t="str" cm="1">
        <f t="array" ref="L257">_xlfn.IFS(Table1[[#This Row],[Discount Applied]]=TRUE,"Yes",Table1[[#This Row],[Discount Applied]]=FALSE,"No")</f>
        <v>Yes</v>
      </c>
      <c r="M257" t="str" cm="1">
        <f t="array" ref="M257">_xlfn.IFS(Table1[[#This Row],[Age]]&lt;18,"Under 18",Table1[[#This Row],[Age]]&lt;=23,"18-23",Table1[[#This Row],[Age]]&lt;=29,"24-29",Table1[[#This Row],[Age]]&lt;=35,"30-35",Table1[[#This Row],[Age]]&lt;=41,"36-41",Table1[[#This Row],[Age]]&gt;41,"Over 41")</f>
        <v>24-29</v>
      </c>
      <c r="N257" t="str" cm="1">
        <f t="array" ref="N257">_xlfn.IFS(Table1[[#This Row],[Days Since Last Purchase]]&lt;21,"Active",Table1[[#This Row],[Days Since Last Purchase]]&lt;=42,"Moderately Active",Table1[[#This Row],[Days Since Last Purchase]]&gt;=43, "Inactive")</f>
        <v>Inactive</v>
      </c>
      <c r="O257">
        <f>IF(K257="Satisfied",1,IF(K257="Neutral",0.5,IF(K257="Unsatisfied",0,IF(Table1[[#This Row],[Satisfaction Level]]="No Response","0"))))</f>
        <v>0</v>
      </c>
    </row>
    <row r="258" spans="1:15" x14ac:dyDescent="0.45">
      <c r="A258">
        <v>357</v>
      </c>
      <c r="B258" t="s">
        <v>11</v>
      </c>
      <c r="C258">
        <v>37</v>
      </c>
      <c r="D258" t="s">
        <v>24</v>
      </c>
      <c r="E258" t="s">
        <v>20</v>
      </c>
      <c r="F258">
        <v>410.8</v>
      </c>
      <c r="G258">
        <v>7</v>
      </c>
      <c r="H258">
        <v>3.4</v>
      </c>
      <c r="I258" t="b">
        <v>0</v>
      </c>
      <c r="J258">
        <v>26</v>
      </c>
      <c r="K258" t="s">
        <v>18</v>
      </c>
      <c r="L258" t="str" cm="1">
        <f t="array" ref="L258">_xlfn.IFS(Table1[[#This Row],[Discount Applied]]=TRUE,"Yes",Table1[[#This Row],[Discount Applied]]=FALSE,"No")</f>
        <v>No</v>
      </c>
      <c r="M258" t="str" cm="1">
        <f t="array" ref="M258">_xlfn.IFS(Table1[[#This Row],[Age]]&lt;18,"Under 18",Table1[[#This Row],[Age]]&lt;=23,"18-23",Table1[[#This Row],[Age]]&lt;=29,"24-29",Table1[[#This Row],[Age]]&lt;=35,"30-35",Table1[[#This Row],[Age]]&lt;=41,"36-41",Table1[[#This Row],[Age]]&gt;41,"Over 41")</f>
        <v>36-41</v>
      </c>
      <c r="N258" t="str" cm="1">
        <f t="array" ref="N258">_xlfn.IFS(Table1[[#This Row],[Days Since Last Purchase]]&lt;21,"Active",Table1[[#This Row],[Days Since Last Purchase]]&lt;=42,"Moderately Active",Table1[[#This Row],[Days Since Last Purchase]]&gt;=43, "Inactive")</f>
        <v>Moderately Active</v>
      </c>
      <c r="O258">
        <f>IF(K258="Satisfied",1,IF(K258="Neutral",0.5,IF(K258="Unsatisfied",0,IF(Table1[[#This Row],[Satisfaction Level]]="No Response","0"))))</f>
        <v>0.5</v>
      </c>
    </row>
    <row r="259" spans="1:15" x14ac:dyDescent="0.45">
      <c r="A259">
        <v>358</v>
      </c>
      <c r="B259" t="s">
        <v>11</v>
      </c>
      <c r="C259">
        <v>31</v>
      </c>
      <c r="D259" t="s">
        <v>12</v>
      </c>
      <c r="E259" t="s">
        <v>13</v>
      </c>
      <c r="F259">
        <v>1160.5999999999999</v>
      </c>
      <c r="G259">
        <v>15</v>
      </c>
      <c r="H259">
        <v>4.5</v>
      </c>
      <c r="I259" t="b">
        <v>1</v>
      </c>
      <c r="J259">
        <v>29</v>
      </c>
      <c r="K259" t="s">
        <v>14</v>
      </c>
      <c r="L259" t="str" cm="1">
        <f t="array" ref="L259">_xlfn.IFS(Table1[[#This Row],[Discount Applied]]=TRUE,"Yes",Table1[[#This Row],[Discount Applied]]=FALSE,"No")</f>
        <v>Yes</v>
      </c>
      <c r="M259" t="str" cm="1">
        <f t="array" ref="M259">_xlfn.IFS(Table1[[#This Row],[Age]]&lt;18,"Under 18",Table1[[#This Row],[Age]]&lt;=23,"18-23",Table1[[#This Row],[Age]]&lt;=29,"24-29",Table1[[#This Row],[Age]]&lt;=35,"30-35",Table1[[#This Row],[Age]]&lt;=41,"36-41",Table1[[#This Row],[Age]]&gt;41,"Over 41")</f>
        <v>30-35</v>
      </c>
      <c r="N259" t="str" cm="1">
        <f t="array" ref="N259">_xlfn.IFS(Table1[[#This Row],[Days Since Last Purchase]]&lt;21,"Active",Table1[[#This Row],[Days Since Last Purchase]]&lt;=42,"Moderately Active",Table1[[#This Row],[Days Since Last Purchase]]&gt;=43, "Inactive")</f>
        <v>Moderately Active</v>
      </c>
      <c r="O259">
        <f>IF(K259="Satisfied",1,IF(K259="Neutral",0.5,IF(K259="Unsatisfied",0,IF(Table1[[#This Row],[Satisfaction Level]]="No Response","0"))))</f>
        <v>1</v>
      </c>
    </row>
    <row r="260" spans="1:15" x14ac:dyDescent="0.45">
      <c r="A260">
        <v>359</v>
      </c>
      <c r="B260" t="s">
        <v>15</v>
      </c>
      <c r="C260">
        <v>35</v>
      </c>
      <c r="D260" t="s">
        <v>16</v>
      </c>
      <c r="E260" t="s">
        <v>17</v>
      </c>
      <c r="F260">
        <v>810.9</v>
      </c>
      <c r="G260">
        <v>12</v>
      </c>
      <c r="H260">
        <v>4.3</v>
      </c>
      <c r="I260" t="b">
        <v>0</v>
      </c>
      <c r="J260">
        <v>14</v>
      </c>
      <c r="K260" t="s">
        <v>18</v>
      </c>
      <c r="L260" t="str" cm="1">
        <f t="array" ref="L260">_xlfn.IFS(Table1[[#This Row],[Discount Applied]]=TRUE,"Yes",Table1[[#This Row],[Discount Applied]]=FALSE,"No")</f>
        <v>No</v>
      </c>
      <c r="M260" t="str" cm="1">
        <f t="array" ref="M260">_xlfn.IFS(Table1[[#This Row],[Age]]&lt;18,"Under 18",Table1[[#This Row],[Age]]&lt;=23,"18-23",Table1[[#This Row],[Age]]&lt;=29,"24-29",Table1[[#This Row],[Age]]&lt;=35,"30-35",Table1[[#This Row],[Age]]&lt;=41,"36-41",Table1[[#This Row],[Age]]&gt;41,"Over 41")</f>
        <v>30-35</v>
      </c>
      <c r="N260" t="str" cm="1">
        <f t="array" ref="N260">_xlfn.IFS(Table1[[#This Row],[Days Since Last Purchase]]&lt;21,"Active",Table1[[#This Row],[Days Since Last Purchase]]&lt;=42,"Moderately Active",Table1[[#This Row],[Days Since Last Purchase]]&gt;=43, "Inactive")</f>
        <v>Active</v>
      </c>
      <c r="O260">
        <f>IF(K260="Satisfied",1,IF(K260="Neutral",0.5,IF(K260="Unsatisfied",0,IF(Table1[[#This Row],[Satisfaction Level]]="No Response","0"))))</f>
        <v>0.5</v>
      </c>
    </row>
    <row r="261" spans="1:15" x14ac:dyDescent="0.45">
      <c r="A261">
        <v>360</v>
      </c>
      <c r="B261" t="s">
        <v>11</v>
      </c>
      <c r="C261">
        <v>41</v>
      </c>
      <c r="D261" t="s">
        <v>19</v>
      </c>
      <c r="E261" t="s">
        <v>20</v>
      </c>
      <c r="F261">
        <v>495.25</v>
      </c>
      <c r="G261">
        <v>9</v>
      </c>
      <c r="H261">
        <v>3.6</v>
      </c>
      <c r="I261" t="b">
        <v>1</v>
      </c>
      <c r="J261">
        <v>41</v>
      </c>
      <c r="K261" t="s">
        <v>21</v>
      </c>
      <c r="L261" t="str" cm="1">
        <f t="array" ref="L261">_xlfn.IFS(Table1[[#This Row],[Discount Applied]]=TRUE,"Yes",Table1[[#This Row],[Discount Applied]]=FALSE,"No")</f>
        <v>Yes</v>
      </c>
      <c r="M261" t="str" cm="1">
        <f t="array" ref="M261">_xlfn.IFS(Table1[[#This Row],[Age]]&lt;18,"Under 18",Table1[[#This Row],[Age]]&lt;=23,"18-23",Table1[[#This Row],[Age]]&lt;=29,"24-29",Table1[[#This Row],[Age]]&lt;=35,"30-35",Table1[[#This Row],[Age]]&lt;=41,"36-41",Table1[[#This Row],[Age]]&gt;41,"Over 41")</f>
        <v>36-41</v>
      </c>
      <c r="N261" t="str" cm="1">
        <f t="array" ref="N261">_xlfn.IFS(Table1[[#This Row],[Days Since Last Purchase]]&lt;21,"Active",Table1[[#This Row],[Days Since Last Purchase]]&lt;=42,"Moderately Active",Table1[[#This Row],[Days Since Last Purchase]]&gt;=43, "Inactive")</f>
        <v>Moderately Active</v>
      </c>
      <c r="O261">
        <f>IF(K261="Satisfied",1,IF(K261="Neutral",0.5,IF(K261="Unsatisfied",0,IF(Table1[[#This Row],[Satisfaction Level]]="No Response","0"))))</f>
        <v>0</v>
      </c>
    </row>
    <row r="262" spans="1:15" x14ac:dyDescent="0.45">
      <c r="A262">
        <v>361</v>
      </c>
      <c r="B262" t="s">
        <v>15</v>
      </c>
      <c r="C262">
        <v>28</v>
      </c>
      <c r="D262" t="s">
        <v>22</v>
      </c>
      <c r="E262" t="s">
        <v>13</v>
      </c>
      <c r="F262">
        <v>1490.1</v>
      </c>
      <c r="G262">
        <v>21</v>
      </c>
      <c r="H262">
        <v>4.9000000000000004</v>
      </c>
      <c r="I262" t="b">
        <v>0</v>
      </c>
      <c r="J262">
        <v>10</v>
      </c>
      <c r="K262" t="s">
        <v>14</v>
      </c>
      <c r="L262" t="str" cm="1">
        <f t="array" ref="L262">_xlfn.IFS(Table1[[#This Row],[Discount Applied]]=TRUE,"Yes",Table1[[#This Row],[Discount Applied]]=FALSE,"No")</f>
        <v>No</v>
      </c>
      <c r="M262" t="str" cm="1">
        <f t="array" ref="M262">_xlfn.IFS(Table1[[#This Row],[Age]]&lt;18,"Under 18",Table1[[#This Row],[Age]]&lt;=23,"18-23",Table1[[#This Row],[Age]]&lt;=29,"24-29",Table1[[#This Row],[Age]]&lt;=35,"30-35",Table1[[#This Row],[Age]]&lt;=41,"36-41",Table1[[#This Row],[Age]]&gt;41,"Over 41")</f>
        <v>24-29</v>
      </c>
      <c r="N262" t="str" cm="1">
        <f t="array" ref="N262">_xlfn.IFS(Table1[[#This Row],[Days Since Last Purchase]]&lt;21,"Active",Table1[[#This Row],[Days Since Last Purchase]]&lt;=42,"Moderately Active",Table1[[#This Row],[Days Since Last Purchase]]&gt;=43, "Inactive")</f>
        <v>Active</v>
      </c>
      <c r="O262">
        <f>IF(K262="Satisfied",1,IF(K262="Neutral",0.5,IF(K262="Unsatisfied",0,IF(Table1[[#This Row],[Satisfaction Level]]="No Response","0"))))</f>
        <v>1</v>
      </c>
    </row>
    <row r="263" spans="1:15" x14ac:dyDescent="0.45">
      <c r="A263">
        <v>362</v>
      </c>
      <c r="B263" t="s">
        <v>15</v>
      </c>
      <c r="C263">
        <v>32</v>
      </c>
      <c r="D263" t="s">
        <v>23</v>
      </c>
      <c r="E263" t="s">
        <v>17</v>
      </c>
      <c r="F263">
        <v>660.3</v>
      </c>
      <c r="G263">
        <v>10</v>
      </c>
      <c r="H263">
        <v>3.8</v>
      </c>
      <c r="I263" t="b">
        <v>1</v>
      </c>
      <c r="J263">
        <v>35</v>
      </c>
      <c r="K263" t="s">
        <v>21</v>
      </c>
      <c r="L263" t="str" cm="1">
        <f t="array" ref="L263">_xlfn.IFS(Table1[[#This Row],[Discount Applied]]=TRUE,"Yes",Table1[[#This Row],[Discount Applied]]=FALSE,"No")</f>
        <v>Yes</v>
      </c>
      <c r="M263" t="str" cm="1">
        <f t="array" ref="M263">_xlfn.IFS(Table1[[#This Row],[Age]]&lt;18,"Under 18",Table1[[#This Row],[Age]]&lt;=23,"18-23",Table1[[#This Row],[Age]]&lt;=29,"24-29",Table1[[#This Row],[Age]]&lt;=35,"30-35",Table1[[#This Row],[Age]]&lt;=41,"36-41",Table1[[#This Row],[Age]]&gt;41,"Over 41")</f>
        <v>30-35</v>
      </c>
      <c r="N263" t="str" cm="1">
        <f t="array" ref="N263">_xlfn.IFS(Table1[[#This Row],[Days Since Last Purchase]]&lt;21,"Active",Table1[[#This Row],[Days Since Last Purchase]]&lt;=42,"Moderately Active",Table1[[#This Row],[Days Since Last Purchase]]&gt;=43, "Inactive")</f>
        <v>Moderately Active</v>
      </c>
      <c r="O263">
        <f>IF(K263="Satisfied",1,IF(K263="Neutral",0.5,IF(K263="Unsatisfied",0,IF(Table1[[#This Row],[Satisfaction Level]]="No Response","0"))))</f>
        <v>0</v>
      </c>
    </row>
    <row r="264" spans="1:15" x14ac:dyDescent="0.45">
      <c r="A264">
        <v>363</v>
      </c>
      <c r="B264" t="s">
        <v>11</v>
      </c>
      <c r="C264">
        <v>36</v>
      </c>
      <c r="D264" t="s">
        <v>24</v>
      </c>
      <c r="E264" t="s">
        <v>20</v>
      </c>
      <c r="F264">
        <v>430.5</v>
      </c>
      <c r="G264">
        <v>8</v>
      </c>
      <c r="H264">
        <v>3.1</v>
      </c>
      <c r="I264" t="b">
        <v>0</v>
      </c>
      <c r="J264">
        <v>21</v>
      </c>
      <c r="K264" t="s">
        <v>18</v>
      </c>
      <c r="L264" t="str" cm="1">
        <f t="array" ref="L264">_xlfn.IFS(Table1[[#This Row],[Discount Applied]]=TRUE,"Yes",Table1[[#This Row],[Discount Applied]]=FALSE,"No")</f>
        <v>No</v>
      </c>
      <c r="M264" t="str" cm="1">
        <f t="array" ref="M264">_xlfn.IFS(Table1[[#This Row],[Age]]&lt;18,"Under 18",Table1[[#This Row],[Age]]&lt;=23,"18-23",Table1[[#This Row],[Age]]&lt;=29,"24-29",Table1[[#This Row],[Age]]&lt;=35,"30-35",Table1[[#This Row],[Age]]&lt;=41,"36-41",Table1[[#This Row],[Age]]&gt;41,"Over 41")</f>
        <v>36-41</v>
      </c>
      <c r="N264" t="str" cm="1">
        <f t="array" ref="N264">_xlfn.IFS(Table1[[#This Row],[Days Since Last Purchase]]&lt;21,"Active",Table1[[#This Row],[Days Since Last Purchase]]&lt;=42,"Moderately Active",Table1[[#This Row],[Days Since Last Purchase]]&gt;=43, "Inactive")</f>
        <v>Moderately Active</v>
      </c>
      <c r="O264">
        <f>IF(K264="Satisfied",1,IF(K264="Neutral",0.5,IF(K264="Unsatisfied",0,IF(Table1[[#This Row],[Satisfaction Level]]="No Response","0"))))</f>
        <v>0.5</v>
      </c>
    </row>
    <row r="265" spans="1:15" x14ac:dyDescent="0.45">
      <c r="A265">
        <v>364</v>
      </c>
      <c r="B265" t="s">
        <v>11</v>
      </c>
      <c r="C265">
        <v>30</v>
      </c>
      <c r="D265" t="s">
        <v>12</v>
      </c>
      <c r="E265" t="s">
        <v>13</v>
      </c>
      <c r="F265">
        <v>1200.8</v>
      </c>
      <c r="G265">
        <v>16</v>
      </c>
      <c r="H265">
        <v>4.7</v>
      </c>
      <c r="I265" t="b">
        <v>1</v>
      </c>
      <c r="J265">
        <v>22</v>
      </c>
      <c r="K265" t="s">
        <v>14</v>
      </c>
      <c r="L265" t="str" cm="1">
        <f t="array" ref="L265">_xlfn.IFS(Table1[[#This Row],[Discount Applied]]=TRUE,"Yes",Table1[[#This Row],[Discount Applied]]=FALSE,"No")</f>
        <v>Yes</v>
      </c>
      <c r="M265" t="str" cm="1">
        <f t="array" ref="M265">_xlfn.IFS(Table1[[#This Row],[Age]]&lt;18,"Under 18",Table1[[#This Row],[Age]]&lt;=23,"18-23",Table1[[#This Row],[Age]]&lt;=29,"24-29",Table1[[#This Row],[Age]]&lt;=35,"30-35",Table1[[#This Row],[Age]]&lt;=41,"36-41",Table1[[#This Row],[Age]]&gt;41,"Over 41")</f>
        <v>30-35</v>
      </c>
      <c r="N265" t="str" cm="1">
        <f t="array" ref="N265">_xlfn.IFS(Table1[[#This Row],[Days Since Last Purchase]]&lt;21,"Active",Table1[[#This Row],[Days Since Last Purchase]]&lt;=42,"Moderately Active",Table1[[#This Row],[Days Since Last Purchase]]&gt;=43, "Inactive")</f>
        <v>Moderately Active</v>
      </c>
      <c r="O265">
        <f>IF(K265="Satisfied",1,IF(K265="Neutral",0.5,IF(K265="Unsatisfied",0,IF(Table1[[#This Row],[Satisfaction Level]]="No Response","0"))))</f>
        <v>1</v>
      </c>
    </row>
    <row r="266" spans="1:15" x14ac:dyDescent="0.45">
      <c r="A266">
        <v>365</v>
      </c>
      <c r="B266" t="s">
        <v>15</v>
      </c>
      <c r="C266">
        <v>34</v>
      </c>
      <c r="D266" t="s">
        <v>16</v>
      </c>
      <c r="E266" t="s">
        <v>17</v>
      </c>
      <c r="F266">
        <v>780.2</v>
      </c>
      <c r="G266">
        <v>11</v>
      </c>
      <c r="H266">
        <v>4.0999999999999996</v>
      </c>
      <c r="I266" t="b">
        <v>0</v>
      </c>
      <c r="J266">
        <v>16</v>
      </c>
      <c r="K266" t="s">
        <v>18</v>
      </c>
      <c r="L266" t="str" cm="1">
        <f t="array" ref="L266">_xlfn.IFS(Table1[[#This Row],[Discount Applied]]=TRUE,"Yes",Table1[[#This Row],[Discount Applied]]=FALSE,"No")</f>
        <v>No</v>
      </c>
      <c r="M266" t="str" cm="1">
        <f t="array" ref="M266">_xlfn.IFS(Table1[[#This Row],[Age]]&lt;18,"Under 18",Table1[[#This Row],[Age]]&lt;=23,"18-23",Table1[[#This Row],[Age]]&lt;=29,"24-29",Table1[[#This Row],[Age]]&lt;=35,"30-35",Table1[[#This Row],[Age]]&lt;=41,"36-41",Table1[[#This Row],[Age]]&gt;41,"Over 41")</f>
        <v>30-35</v>
      </c>
      <c r="N266" t="str" cm="1">
        <f t="array" ref="N266">_xlfn.IFS(Table1[[#This Row],[Days Since Last Purchase]]&lt;21,"Active",Table1[[#This Row],[Days Since Last Purchase]]&lt;=42,"Moderately Active",Table1[[#This Row],[Days Since Last Purchase]]&gt;=43, "Inactive")</f>
        <v>Active</v>
      </c>
      <c r="O266">
        <f>IF(K266="Satisfied",1,IF(K266="Neutral",0.5,IF(K266="Unsatisfied",0,IF(Table1[[#This Row],[Satisfaction Level]]="No Response","0"))))</f>
        <v>0.5</v>
      </c>
    </row>
    <row r="267" spans="1:15" x14ac:dyDescent="0.45">
      <c r="A267">
        <v>366</v>
      </c>
      <c r="B267" t="s">
        <v>11</v>
      </c>
      <c r="C267">
        <v>43</v>
      </c>
      <c r="D267" t="s">
        <v>19</v>
      </c>
      <c r="E267" t="s">
        <v>20</v>
      </c>
      <c r="F267">
        <v>505.75</v>
      </c>
      <c r="G267">
        <v>10</v>
      </c>
      <c r="H267">
        <v>3.3</v>
      </c>
      <c r="I267" t="b">
        <v>1</v>
      </c>
      <c r="J267">
        <v>42</v>
      </c>
      <c r="K267" t="s">
        <v>21</v>
      </c>
      <c r="L267" t="str" cm="1">
        <f t="array" ref="L267">_xlfn.IFS(Table1[[#This Row],[Discount Applied]]=TRUE,"Yes",Table1[[#This Row],[Discount Applied]]=FALSE,"No")</f>
        <v>Yes</v>
      </c>
      <c r="M267" t="str" cm="1">
        <f t="array" ref="M267">_xlfn.IFS(Table1[[#This Row],[Age]]&lt;18,"Under 18",Table1[[#This Row],[Age]]&lt;=23,"18-23",Table1[[#This Row],[Age]]&lt;=29,"24-29",Table1[[#This Row],[Age]]&lt;=35,"30-35",Table1[[#This Row],[Age]]&lt;=41,"36-41",Table1[[#This Row],[Age]]&gt;41,"Over 41")</f>
        <v>Over 41</v>
      </c>
      <c r="N267" t="str" cm="1">
        <f t="array" ref="N267">_xlfn.IFS(Table1[[#This Row],[Days Since Last Purchase]]&lt;21,"Active",Table1[[#This Row],[Days Since Last Purchase]]&lt;=42,"Moderately Active",Table1[[#This Row],[Days Since Last Purchase]]&gt;=43, "Inactive")</f>
        <v>Moderately Active</v>
      </c>
      <c r="O267">
        <f>IF(K267="Satisfied",1,IF(K267="Neutral",0.5,IF(K267="Unsatisfied",0,IF(Table1[[#This Row],[Satisfaction Level]]="No Response","0"))))</f>
        <v>0</v>
      </c>
    </row>
    <row r="268" spans="1:15" x14ac:dyDescent="0.45">
      <c r="A268">
        <v>367</v>
      </c>
      <c r="B268" t="s">
        <v>15</v>
      </c>
      <c r="C268">
        <v>30</v>
      </c>
      <c r="D268" t="s">
        <v>22</v>
      </c>
      <c r="E268" t="s">
        <v>13</v>
      </c>
      <c r="F268">
        <v>1460.5</v>
      </c>
      <c r="G268">
        <v>20</v>
      </c>
      <c r="H268">
        <v>4.8</v>
      </c>
      <c r="I268" t="b">
        <v>0</v>
      </c>
      <c r="J268">
        <v>13</v>
      </c>
      <c r="K268" t="s">
        <v>14</v>
      </c>
      <c r="L268" t="str" cm="1">
        <f t="array" ref="L268">_xlfn.IFS(Table1[[#This Row],[Discount Applied]]=TRUE,"Yes",Table1[[#This Row],[Discount Applied]]=FALSE,"No")</f>
        <v>No</v>
      </c>
      <c r="M268" t="str" cm="1">
        <f t="array" ref="M268">_xlfn.IFS(Table1[[#This Row],[Age]]&lt;18,"Under 18",Table1[[#This Row],[Age]]&lt;=23,"18-23",Table1[[#This Row],[Age]]&lt;=29,"24-29",Table1[[#This Row],[Age]]&lt;=35,"30-35",Table1[[#This Row],[Age]]&lt;=41,"36-41",Table1[[#This Row],[Age]]&gt;41,"Over 41")</f>
        <v>30-35</v>
      </c>
      <c r="N268" t="str" cm="1">
        <f t="array" ref="N268">_xlfn.IFS(Table1[[#This Row],[Days Since Last Purchase]]&lt;21,"Active",Table1[[#This Row],[Days Since Last Purchase]]&lt;=42,"Moderately Active",Table1[[#This Row],[Days Since Last Purchase]]&gt;=43, "Inactive")</f>
        <v>Active</v>
      </c>
      <c r="O268">
        <f>IF(K268="Satisfied",1,IF(K268="Neutral",0.5,IF(K268="Unsatisfied",0,IF(Table1[[#This Row],[Satisfaction Level]]="No Response","0"))))</f>
        <v>1</v>
      </c>
    </row>
    <row r="269" spans="1:15" x14ac:dyDescent="0.45">
      <c r="A269">
        <v>368</v>
      </c>
      <c r="B269" t="s">
        <v>15</v>
      </c>
      <c r="C269">
        <v>27</v>
      </c>
      <c r="D269" t="s">
        <v>23</v>
      </c>
      <c r="E269" t="s">
        <v>17</v>
      </c>
      <c r="F269">
        <v>710.4</v>
      </c>
      <c r="G269">
        <v>13</v>
      </c>
      <c r="H269">
        <v>4.0999999999999996</v>
      </c>
      <c r="I269" t="b">
        <v>1</v>
      </c>
      <c r="J269">
        <v>57</v>
      </c>
      <c r="K269" t="s">
        <v>21</v>
      </c>
      <c r="L269" t="str" cm="1">
        <f t="array" ref="L269">_xlfn.IFS(Table1[[#This Row],[Discount Applied]]=TRUE,"Yes",Table1[[#This Row],[Discount Applied]]=FALSE,"No")</f>
        <v>Yes</v>
      </c>
      <c r="M269" t="str" cm="1">
        <f t="array" ref="M269">_xlfn.IFS(Table1[[#This Row],[Age]]&lt;18,"Under 18",Table1[[#This Row],[Age]]&lt;=23,"18-23",Table1[[#This Row],[Age]]&lt;=29,"24-29",Table1[[#This Row],[Age]]&lt;=35,"30-35",Table1[[#This Row],[Age]]&lt;=41,"36-41",Table1[[#This Row],[Age]]&gt;41,"Over 41")</f>
        <v>24-29</v>
      </c>
      <c r="N269" t="str" cm="1">
        <f t="array" ref="N269">_xlfn.IFS(Table1[[#This Row],[Days Since Last Purchase]]&lt;21,"Active",Table1[[#This Row],[Days Since Last Purchase]]&lt;=42,"Moderately Active",Table1[[#This Row],[Days Since Last Purchase]]&gt;=43, "Inactive")</f>
        <v>Inactive</v>
      </c>
      <c r="O269">
        <f>IF(K269="Satisfied",1,IF(K269="Neutral",0.5,IF(K269="Unsatisfied",0,IF(Table1[[#This Row],[Satisfaction Level]]="No Response","0"))))</f>
        <v>0</v>
      </c>
    </row>
    <row r="270" spans="1:15" x14ac:dyDescent="0.45">
      <c r="A270">
        <v>369</v>
      </c>
      <c r="B270" t="s">
        <v>11</v>
      </c>
      <c r="C270">
        <v>37</v>
      </c>
      <c r="D270" t="s">
        <v>24</v>
      </c>
      <c r="E270" t="s">
        <v>20</v>
      </c>
      <c r="F270">
        <v>450.8</v>
      </c>
      <c r="G270">
        <v>7</v>
      </c>
      <c r="H270">
        <v>3.4</v>
      </c>
      <c r="I270" t="b">
        <v>0</v>
      </c>
      <c r="J270">
        <v>24</v>
      </c>
      <c r="K270" t="s">
        <v>18</v>
      </c>
      <c r="L270" t="str" cm="1">
        <f t="array" ref="L270">_xlfn.IFS(Table1[[#This Row],[Discount Applied]]=TRUE,"Yes",Table1[[#This Row],[Discount Applied]]=FALSE,"No")</f>
        <v>No</v>
      </c>
      <c r="M270" t="str" cm="1">
        <f t="array" ref="M270">_xlfn.IFS(Table1[[#This Row],[Age]]&lt;18,"Under 18",Table1[[#This Row],[Age]]&lt;=23,"18-23",Table1[[#This Row],[Age]]&lt;=29,"24-29",Table1[[#This Row],[Age]]&lt;=35,"30-35",Table1[[#This Row],[Age]]&lt;=41,"36-41",Table1[[#This Row],[Age]]&gt;41,"Over 41")</f>
        <v>36-41</v>
      </c>
      <c r="N270" t="str" cm="1">
        <f t="array" ref="N270">_xlfn.IFS(Table1[[#This Row],[Days Since Last Purchase]]&lt;21,"Active",Table1[[#This Row],[Days Since Last Purchase]]&lt;=42,"Moderately Active",Table1[[#This Row],[Days Since Last Purchase]]&gt;=43, "Inactive")</f>
        <v>Moderately Active</v>
      </c>
      <c r="O270">
        <f>IF(K270="Satisfied",1,IF(K270="Neutral",0.5,IF(K270="Unsatisfied",0,IF(Table1[[#This Row],[Satisfaction Level]]="No Response","0"))))</f>
        <v>0.5</v>
      </c>
    </row>
    <row r="271" spans="1:15" x14ac:dyDescent="0.45">
      <c r="A271">
        <v>370</v>
      </c>
      <c r="B271" t="s">
        <v>11</v>
      </c>
      <c r="C271">
        <v>31</v>
      </c>
      <c r="D271" t="s">
        <v>12</v>
      </c>
      <c r="E271" t="s">
        <v>13</v>
      </c>
      <c r="F271">
        <v>1140.5999999999999</v>
      </c>
      <c r="G271">
        <v>15</v>
      </c>
      <c r="H271">
        <v>4.5</v>
      </c>
      <c r="I271" t="b">
        <v>1</v>
      </c>
      <c r="J271">
        <v>30</v>
      </c>
      <c r="K271" t="s">
        <v>14</v>
      </c>
      <c r="L271" t="str" cm="1">
        <f t="array" ref="L271">_xlfn.IFS(Table1[[#This Row],[Discount Applied]]=TRUE,"Yes",Table1[[#This Row],[Discount Applied]]=FALSE,"No")</f>
        <v>Yes</v>
      </c>
      <c r="M271" t="str" cm="1">
        <f t="array" ref="M271">_xlfn.IFS(Table1[[#This Row],[Age]]&lt;18,"Under 18",Table1[[#This Row],[Age]]&lt;=23,"18-23",Table1[[#This Row],[Age]]&lt;=29,"24-29",Table1[[#This Row],[Age]]&lt;=35,"30-35",Table1[[#This Row],[Age]]&lt;=41,"36-41",Table1[[#This Row],[Age]]&gt;41,"Over 41")</f>
        <v>30-35</v>
      </c>
      <c r="N271" t="str" cm="1">
        <f t="array" ref="N271">_xlfn.IFS(Table1[[#This Row],[Days Since Last Purchase]]&lt;21,"Active",Table1[[#This Row],[Days Since Last Purchase]]&lt;=42,"Moderately Active",Table1[[#This Row],[Days Since Last Purchase]]&gt;=43, "Inactive")</f>
        <v>Moderately Active</v>
      </c>
      <c r="O271">
        <f>IF(K271="Satisfied",1,IF(K271="Neutral",0.5,IF(K271="Unsatisfied",0,IF(Table1[[#This Row],[Satisfaction Level]]="No Response","0"))))</f>
        <v>1</v>
      </c>
    </row>
    <row r="272" spans="1:15" x14ac:dyDescent="0.45">
      <c r="A272">
        <v>371</v>
      </c>
      <c r="B272" t="s">
        <v>15</v>
      </c>
      <c r="C272">
        <v>35</v>
      </c>
      <c r="D272" t="s">
        <v>16</v>
      </c>
      <c r="E272" t="s">
        <v>17</v>
      </c>
      <c r="F272">
        <v>800.9</v>
      </c>
      <c r="G272">
        <v>12</v>
      </c>
      <c r="H272">
        <v>4.0999999999999996</v>
      </c>
      <c r="I272" t="b">
        <v>0</v>
      </c>
      <c r="J272">
        <v>17</v>
      </c>
      <c r="K272" t="s">
        <v>18</v>
      </c>
      <c r="L272" t="str" cm="1">
        <f t="array" ref="L272">_xlfn.IFS(Table1[[#This Row],[Discount Applied]]=TRUE,"Yes",Table1[[#This Row],[Discount Applied]]=FALSE,"No")</f>
        <v>No</v>
      </c>
      <c r="M272" t="str" cm="1">
        <f t="array" ref="M272">_xlfn.IFS(Table1[[#This Row],[Age]]&lt;18,"Under 18",Table1[[#This Row],[Age]]&lt;=23,"18-23",Table1[[#This Row],[Age]]&lt;=29,"24-29",Table1[[#This Row],[Age]]&lt;=35,"30-35",Table1[[#This Row],[Age]]&lt;=41,"36-41",Table1[[#This Row],[Age]]&gt;41,"Over 41")</f>
        <v>30-35</v>
      </c>
      <c r="N272" t="str" cm="1">
        <f t="array" ref="N272">_xlfn.IFS(Table1[[#This Row],[Days Since Last Purchase]]&lt;21,"Active",Table1[[#This Row],[Days Since Last Purchase]]&lt;=42,"Moderately Active",Table1[[#This Row],[Days Since Last Purchase]]&gt;=43, "Inactive")</f>
        <v>Active</v>
      </c>
      <c r="O272">
        <f>IF(K272="Satisfied",1,IF(K272="Neutral",0.5,IF(K272="Unsatisfied",0,IF(Table1[[#This Row],[Satisfaction Level]]="No Response","0"))))</f>
        <v>0.5</v>
      </c>
    </row>
    <row r="273" spans="1:15" x14ac:dyDescent="0.45">
      <c r="A273">
        <v>372</v>
      </c>
      <c r="B273" t="s">
        <v>11</v>
      </c>
      <c r="C273">
        <v>41</v>
      </c>
      <c r="D273" t="s">
        <v>19</v>
      </c>
      <c r="E273" t="s">
        <v>20</v>
      </c>
      <c r="F273">
        <v>475.25</v>
      </c>
      <c r="G273">
        <v>9</v>
      </c>
      <c r="H273">
        <v>3.6</v>
      </c>
      <c r="I273" t="b">
        <v>1</v>
      </c>
      <c r="J273">
        <v>42</v>
      </c>
      <c r="K273" t="s">
        <v>21</v>
      </c>
      <c r="L273" t="str" cm="1">
        <f t="array" ref="L273">_xlfn.IFS(Table1[[#This Row],[Discount Applied]]=TRUE,"Yes",Table1[[#This Row],[Discount Applied]]=FALSE,"No")</f>
        <v>Yes</v>
      </c>
      <c r="M273" t="str" cm="1">
        <f t="array" ref="M273">_xlfn.IFS(Table1[[#This Row],[Age]]&lt;18,"Under 18",Table1[[#This Row],[Age]]&lt;=23,"18-23",Table1[[#This Row],[Age]]&lt;=29,"24-29",Table1[[#This Row],[Age]]&lt;=35,"30-35",Table1[[#This Row],[Age]]&lt;=41,"36-41",Table1[[#This Row],[Age]]&gt;41,"Over 41")</f>
        <v>36-41</v>
      </c>
      <c r="N273" t="str" cm="1">
        <f t="array" ref="N273">_xlfn.IFS(Table1[[#This Row],[Days Since Last Purchase]]&lt;21,"Active",Table1[[#This Row],[Days Since Last Purchase]]&lt;=42,"Moderately Active",Table1[[#This Row],[Days Since Last Purchase]]&gt;=43, "Inactive")</f>
        <v>Moderately Active</v>
      </c>
      <c r="O273">
        <f>IF(K273="Satisfied",1,IF(K273="Neutral",0.5,IF(K273="Unsatisfied",0,IF(Table1[[#This Row],[Satisfaction Level]]="No Response","0"))))</f>
        <v>0</v>
      </c>
    </row>
    <row r="274" spans="1:15" x14ac:dyDescent="0.45">
      <c r="A274">
        <v>373</v>
      </c>
      <c r="B274" t="s">
        <v>15</v>
      </c>
      <c r="C274">
        <v>28</v>
      </c>
      <c r="D274" t="s">
        <v>22</v>
      </c>
      <c r="E274" t="s">
        <v>13</v>
      </c>
      <c r="F274">
        <v>1480.1</v>
      </c>
      <c r="G274">
        <v>21</v>
      </c>
      <c r="H274">
        <v>4.9000000000000004</v>
      </c>
      <c r="I274" t="b">
        <v>0</v>
      </c>
      <c r="J274">
        <v>11</v>
      </c>
      <c r="K274" t="s">
        <v>14</v>
      </c>
      <c r="L274" t="str" cm="1">
        <f t="array" ref="L274">_xlfn.IFS(Table1[[#This Row],[Discount Applied]]=TRUE,"Yes",Table1[[#This Row],[Discount Applied]]=FALSE,"No")</f>
        <v>No</v>
      </c>
      <c r="M274" t="str" cm="1">
        <f t="array" ref="M274">_xlfn.IFS(Table1[[#This Row],[Age]]&lt;18,"Under 18",Table1[[#This Row],[Age]]&lt;=23,"18-23",Table1[[#This Row],[Age]]&lt;=29,"24-29",Table1[[#This Row],[Age]]&lt;=35,"30-35",Table1[[#This Row],[Age]]&lt;=41,"36-41",Table1[[#This Row],[Age]]&gt;41,"Over 41")</f>
        <v>24-29</v>
      </c>
      <c r="N274" t="str" cm="1">
        <f t="array" ref="N274">_xlfn.IFS(Table1[[#This Row],[Days Since Last Purchase]]&lt;21,"Active",Table1[[#This Row],[Days Since Last Purchase]]&lt;=42,"Moderately Active",Table1[[#This Row],[Days Since Last Purchase]]&gt;=43, "Inactive")</f>
        <v>Active</v>
      </c>
      <c r="O274">
        <f>IF(K274="Satisfied",1,IF(K274="Neutral",0.5,IF(K274="Unsatisfied",0,IF(Table1[[#This Row],[Satisfaction Level]]="No Response","0"))))</f>
        <v>1</v>
      </c>
    </row>
    <row r="275" spans="1:15" x14ac:dyDescent="0.45">
      <c r="A275">
        <v>374</v>
      </c>
      <c r="B275" t="s">
        <v>15</v>
      </c>
      <c r="C275">
        <v>32</v>
      </c>
      <c r="D275" t="s">
        <v>23</v>
      </c>
      <c r="E275" t="s">
        <v>17</v>
      </c>
      <c r="F275">
        <v>660.3</v>
      </c>
      <c r="G275">
        <v>10</v>
      </c>
      <c r="H275">
        <v>3.8</v>
      </c>
      <c r="I275" t="b">
        <v>1</v>
      </c>
      <c r="J275">
        <v>36</v>
      </c>
      <c r="K275" t="s">
        <v>21</v>
      </c>
      <c r="L275" t="str" cm="1">
        <f t="array" ref="L275">_xlfn.IFS(Table1[[#This Row],[Discount Applied]]=TRUE,"Yes",Table1[[#This Row],[Discount Applied]]=FALSE,"No")</f>
        <v>Yes</v>
      </c>
      <c r="M275" t="str" cm="1">
        <f t="array" ref="M275">_xlfn.IFS(Table1[[#This Row],[Age]]&lt;18,"Under 18",Table1[[#This Row],[Age]]&lt;=23,"18-23",Table1[[#This Row],[Age]]&lt;=29,"24-29",Table1[[#This Row],[Age]]&lt;=35,"30-35",Table1[[#This Row],[Age]]&lt;=41,"36-41",Table1[[#This Row],[Age]]&gt;41,"Over 41")</f>
        <v>30-35</v>
      </c>
      <c r="N275" t="str" cm="1">
        <f t="array" ref="N275">_xlfn.IFS(Table1[[#This Row],[Days Since Last Purchase]]&lt;21,"Active",Table1[[#This Row],[Days Since Last Purchase]]&lt;=42,"Moderately Active",Table1[[#This Row],[Days Since Last Purchase]]&gt;=43, "Inactive")</f>
        <v>Moderately Active</v>
      </c>
      <c r="O275">
        <f>IF(K275="Satisfied",1,IF(K275="Neutral",0.5,IF(K275="Unsatisfied",0,IF(Table1[[#This Row],[Satisfaction Level]]="No Response","0"))))</f>
        <v>0</v>
      </c>
    </row>
    <row r="276" spans="1:15" x14ac:dyDescent="0.45">
      <c r="A276">
        <v>375</v>
      </c>
      <c r="B276" t="s">
        <v>11</v>
      </c>
      <c r="C276">
        <v>36</v>
      </c>
      <c r="D276" t="s">
        <v>24</v>
      </c>
      <c r="E276" t="s">
        <v>20</v>
      </c>
      <c r="F276">
        <v>470.5</v>
      </c>
      <c r="G276">
        <v>8</v>
      </c>
      <c r="H276">
        <v>3</v>
      </c>
      <c r="I276" t="b">
        <v>0</v>
      </c>
      <c r="J276">
        <v>22</v>
      </c>
      <c r="K276" t="s">
        <v>18</v>
      </c>
      <c r="L276" t="str" cm="1">
        <f t="array" ref="L276">_xlfn.IFS(Table1[[#This Row],[Discount Applied]]=TRUE,"Yes",Table1[[#This Row],[Discount Applied]]=FALSE,"No")</f>
        <v>No</v>
      </c>
      <c r="M276" t="str" cm="1">
        <f t="array" ref="M276">_xlfn.IFS(Table1[[#This Row],[Age]]&lt;18,"Under 18",Table1[[#This Row],[Age]]&lt;=23,"18-23",Table1[[#This Row],[Age]]&lt;=29,"24-29",Table1[[#This Row],[Age]]&lt;=35,"30-35",Table1[[#This Row],[Age]]&lt;=41,"36-41",Table1[[#This Row],[Age]]&gt;41,"Over 41")</f>
        <v>36-41</v>
      </c>
      <c r="N276" t="str" cm="1">
        <f t="array" ref="N276">_xlfn.IFS(Table1[[#This Row],[Days Since Last Purchase]]&lt;21,"Active",Table1[[#This Row],[Days Since Last Purchase]]&lt;=42,"Moderately Active",Table1[[#This Row],[Days Since Last Purchase]]&gt;=43, "Inactive")</f>
        <v>Moderately Active</v>
      </c>
      <c r="O276">
        <f>IF(K276="Satisfied",1,IF(K276="Neutral",0.5,IF(K276="Unsatisfied",0,IF(Table1[[#This Row],[Satisfaction Level]]="No Response","0"))))</f>
        <v>0.5</v>
      </c>
    </row>
    <row r="277" spans="1:15" x14ac:dyDescent="0.45">
      <c r="A277">
        <v>376</v>
      </c>
      <c r="B277" t="s">
        <v>11</v>
      </c>
      <c r="C277">
        <v>30</v>
      </c>
      <c r="D277" t="s">
        <v>12</v>
      </c>
      <c r="E277" t="s">
        <v>13</v>
      </c>
      <c r="F277">
        <v>1190.8</v>
      </c>
      <c r="G277">
        <v>16</v>
      </c>
      <c r="H277">
        <v>4.5</v>
      </c>
      <c r="I277" t="b">
        <v>1</v>
      </c>
      <c r="J277">
        <v>23</v>
      </c>
      <c r="K277" t="s">
        <v>14</v>
      </c>
      <c r="L277" t="str" cm="1">
        <f t="array" ref="L277">_xlfn.IFS(Table1[[#This Row],[Discount Applied]]=TRUE,"Yes",Table1[[#This Row],[Discount Applied]]=FALSE,"No")</f>
        <v>Yes</v>
      </c>
      <c r="M277" t="str" cm="1">
        <f t="array" ref="M277">_xlfn.IFS(Table1[[#This Row],[Age]]&lt;18,"Under 18",Table1[[#This Row],[Age]]&lt;=23,"18-23",Table1[[#This Row],[Age]]&lt;=29,"24-29",Table1[[#This Row],[Age]]&lt;=35,"30-35",Table1[[#This Row],[Age]]&lt;=41,"36-41",Table1[[#This Row],[Age]]&gt;41,"Over 41")</f>
        <v>30-35</v>
      </c>
      <c r="N277" t="str" cm="1">
        <f t="array" ref="N277">_xlfn.IFS(Table1[[#This Row],[Days Since Last Purchase]]&lt;21,"Active",Table1[[#This Row],[Days Since Last Purchase]]&lt;=42,"Moderately Active",Table1[[#This Row],[Days Since Last Purchase]]&gt;=43, "Inactive")</f>
        <v>Moderately Active</v>
      </c>
      <c r="O277">
        <f>IF(K277="Satisfied",1,IF(K277="Neutral",0.5,IF(K277="Unsatisfied",0,IF(Table1[[#This Row],[Satisfaction Level]]="No Response","0"))))</f>
        <v>1</v>
      </c>
    </row>
    <row r="278" spans="1:15" x14ac:dyDescent="0.45">
      <c r="A278">
        <v>377</v>
      </c>
      <c r="B278" t="s">
        <v>15</v>
      </c>
      <c r="C278">
        <v>33</v>
      </c>
      <c r="D278" t="s">
        <v>16</v>
      </c>
      <c r="E278" t="s">
        <v>17</v>
      </c>
      <c r="F278">
        <v>770.2</v>
      </c>
      <c r="G278">
        <v>11</v>
      </c>
      <c r="H278">
        <v>4.2</v>
      </c>
      <c r="I278" t="b">
        <v>0</v>
      </c>
      <c r="J278">
        <v>18</v>
      </c>
      <c r="K278" t="s">
        <v>18</v>
      </c>
      <c r="L278" t="str" cm="1">
        <f t="array" ref="L278">_xlfn.IFS(Table1[[#This Row],[Discount Applied]]=TRUE,"Yes",Table1[[#This Row],[Discount Applied]]=FALSE,"No")</f>
        <v>No</v>
      </c>
      <c r="M278" t="str" cm="1">
        <f t="array" ref="M278">_xlfn.IFS(Table1[[#This Row],[Age]]&lt;18,"Under 18",Table1[[#This Row],[Age]]&lt;=23,"18-23",Table1[[#This Row],[Age]]&lt;=29,"24-29",Table1[[#This Row],[Age]]&lt;=35,"30-35",Table1[[#This Row],[Age]]&lt;=41,"36-41",Table1[[#This Row],[Age]]&gt;41,"Over 41")</f>
        <v>30-35</v>
      </c>
      <c r="N278" t="str" cm="1">
        <f t="array" ref="N278">_xlfn.IFS(Table1[[#This Row],[Days Since Last Purchase]]&lt;21,"Active",Table1[[#This Row],[Days Since Last Purchase]]&lt;=42,"Moderately Active",Table1[[#This Row],[Days Since Last Purchase]]&gt;=43, "Inactive")</f>
        <v>Active</v>
      </c>
      <c r="O278">
        <f>IF(K278="Satisfied",1,IF(K278="Neutral",0.5,IF(K278="Unsatisfied",0,IF(Table1[[#This Row],[Satisfaction Level]]="No Response","0"))))</f>
        <v>0.5</v>
      </c>
    </row>
    <row r="279" spans="1:15" x14ac:dyDescent="0.45">
      <c r="A279">
        <v>378</v>
      </c>
      <c r="B279" t="s">
        <v>11</v>
      </c>
      <c r="C279">
        <v>43</v>
      </c>
      <c r="D279" t="s">
        <v>19</v>
      </c>
      <c r="E279" t="s">
        <v>20</v>
      </c>
      <c r="F279">
        <v>515.75</v>
      </c>
      <c r="G279">
        <v>10</v>
      </c>
      <c r="H279">
        <v>3.3</v>
      </c>
      <c r="I279" t="b">
        <v>1</v>
      </c>
      <c r="J279">
        <v>43</v>
      </c>
      <c r="K279" t="s">
        <v>21</v>
      </c>
      <c r="L279" t="str" cm="1">
        <f t="array" ref="L279">_xlfn.IFS(Table1[[#This Row],[Discount Applied]]=TRUE,"Yes",Table1[[#This Row],[Discount Applied]]=FALSE,"No")</f>
        <v>Yes</v>
      </c>
      <c r="M279" t="str" cm="1">
        <f t="array" ref="M279">_xlfn.IFS(Table1[[#This Row],[Age]]&lt;18,"Under 18",Table1[[#This Row],[Age]]&lt;=23,"18-23",Table1[[#This Row],[Age]]&lt;=29,"24-29",Table1[[#This Row],[Age]]&lt;=35,"30-35",Table1[[#This Row],[Age]]&lt;=41,"36-41",Table1[[#This Row],[Age]]&gt;41,"Over 41")</f>
        <v>Over 41</v>
      </c>
      <c r="N279" t="str" cm="1">
        <f t="array" ref="N279">_xlfn.IFS(Table1[[#This Row],[Days Since Last Purchase]]&lt;21,"Active",Table1[[#This Row],[Days Since Last Purchase]]&lt;=42,"Moderately Active",Table1[[#This Row],[Days Since Last Purchase]]&gt;=43, "Inactive")</f>
        <v>Inactive</v>
      </c>
      <c r="O279">
        <f>IF(K279="Satisfied",1,IF(K279="Neutral",0.5,IF(K279="Unsatisfied",0,IF(Table1[[#This Row],[Satisfaction Level]]="No Response","0"))))</f>
        <v>0</v>
      </c>
    </row>
    <row r="280" spans="1:15" x14ac:dyDescent="0.45">
      <c r="A280">
        <v>379</v>
      </c>
      <c r="B280" t="s">
        <v>15</v>
      </c>
      <c r="C280">
        <v>30</v>
      </c>
      <c r="D280" t="s">
        <v>22</v>
      </c>
      <c r="E280" t="s">
        <v>13</v>
      </c>
      <c r="F280">
        <v>1450.5</v>
      </c>
      <c r="G280">
        <v>19</v>
      </c>
      <c r="H280">
        <v>4.5999999999999996</v>
      </c>
      <c r="I280" t="b">
        <v>0</v>
      </c>
      <c r="J280">
        <v>12</v>
      </c>
      <c r="K280" t="s">
        <v>14</v>
      </c>
      <c r="L280" t="str" cm="1">
        <f t="array" ref="L280">_xlfn.IFS(Table1[[#This Row],[Discount Applied]]=TRUE,"Yes",Table1[[#This Row],[Discount Applied]]=FALSE,"No")</f>
        <v>No</v>
      </c>
      <c r="M280" t="str" cm="1">
        <f t="array" ref="M280">_xlfn.IFS(Table1[[#This Row],[Age]]&lt;18,"Under 18",Table1[[#This Row],[Age]]&lt;=23,"18-23",Table1[[#This Row],[Age]]&lt;=29,"24-29",Table1[[#This Row],[Age]]&lt;=35,"30-35",Table1[[#This Row],[Age]]&lt;=41,"36-41",Table1[[#This Row],[Age]]&gt;41,"Over 41")</f>
        <v>30-35</v>
      </c>
      <c r="N280" t="str" cm="1">
        <f t="array" ref="N280">_xlfn.IFS(Table1[[#This Row],[Days Since Last Purchase]]&lt;21,"Active",Table1[[#This Row],[Days Since Last Purchase]]&lt;=42,"Moderately Active",Table1[[#This Row],[Days Since Last Purchase]]&gt;=43, "Inactive")</f>
        <v>Active</v>
      </c>
      <c r="O280">
        <f>IF(K280="Satisfied",1,IF(K280="Neutral",0.5,IF(K280="Unsatisfied",0,IF(Table1[[#This Row],[Satisfaction Level]]="No Response","0"))))</f>
        <v>1</v>
      </c>
    </row>
    <row r="281" spans="1:15" x14ac:dyDescent="0.45">
      <c r="A281">
        <v>380</v>
      </c>
      <c r="B281" t="s">
        <v>15</v>
      </c>
      <c r="C281">
        <v>27</v>
      </c>
      <c r="D281" t="s">
        <v>23</v>
      </c>
      <c r="E281" t="s">
        <v>17</v>
      </c>
      <c r="F281">
        <v>710.4</v>
      </c>
      <c r="G281">
        <v>13</v>
      </c>
      <c r="H281">
        <v>4.0999999999999996</v>
      </c>
      <c r="I281" t="b">
        <v>1</v>
      </c>
      <c r="J281">
        <v>58</v>
      </c>
      <c r="K281" t="s">
        <v>21</v>
      </c>
      <c r="L281" t="str" cm="1">
        <f t="array" ref="L281">_xlfn.IFS(Table1[[#This Row],[Discount Applied]]=TRUE,"Yes",Table1[[#This Row],[Discount Applied]]=FALSE,"No")</f>
        <v>Yes</v>
      </c>
      <c r="M281" t="str" cm="1">
        <f t="array" ref="M281">_xlfn.IFS(Table1[[#This Row],[Age]]&lt;18,"Under 18",Table1[[#This Row],[Age]]&lt;=23,"18-23",Table1[[#This Row],[Age]]&lt;=29,"24-29",Table1[[#This Row],[Age]]&lt;=35,"30-35",Table1[[#This Row],[Age]]&lt;=41,"36-41",Table1[[#This Row],[Age]]&gt;41,"Over 41")</f>
        <v>24-29</v>
      </c>
      <c r="N281" t="str" cm="1">
        <f t="array" ref="N281">_xlfn.IFS(Table1[[#This Row],[Days Since Last Purchase]]&lt;21,"Active",Table1[[#This Row],[Days Since Last Purchase]]&lt;=42,"Moderately Active",Table1[[#This Row],[Days Since Last Purchase]]&gt;=43, "Inactive")</f>
        <v>Inactive</v>
      </c>
      <c r="O281">
        <f>IF(K281="Satisfied",1,IF(K281="Neutral",0.5,IF(K281="Unsatisfied",0,IF(Table1[[#This Row],[Satisfaction Level]]="No Response","0"))))</f>
        <v>0</v>
      </c>
    </row>
    <row r="282" spans="1:15" x14ac:dyDescent="0.45">
      <c r="A282">
        <v>381</v>
      </c>
      <c r="B282" t="s">
        <v>11</v>
      </c>
      <c r="C282">
        <v>37</v>
      </c>
      <c r="D282" t="s">
        <v>24</v>
      </c>
      <c r="E282" t="s">
        <v>20</v>
      </c>
      <c r="F282">
        <v>430.8</v>
      </c>
      <c r="G282">
        <v>7</v>
      </c>
      <c r="H282">
        <v>3.4</v>
      </c>
      <c r="I282" t="b">
        <v>0</v>
      </c>
      <c r="J282">
        <v>27</v>
      </c>
      <c r="K282" t="s">
        <v>18</v>
      </c>
      <c r="L282" t="str" cm="1">
        <f t="array" ref="L282">_xlfn.IFS(Table1[[#This Row],[Discount Applied]]=TRUE,"Yes",Table1[[#This Row],[Discount Applied]]=FALSE,"No")</f>
        <v>No</v>
      </c>
      <c r="M282" t="str" cm="1">
        <f t="array" ref="M282">_xlfn.IFS(Table1[[#This Row],[Age]]&lt;18,"Under 18",Table1[[#This Row],[Age]]&lt;=23,"18-23",Table1[[#This Row],[Age]]&lt;=29,"24-29",Table1[[#This Row],[Age]]&lt;=35,"30-35",Table1[[#This Row],[Age]]&lt;=41,"36-41",Table1[[#This Row],[Age]]&gt;41,"Over 41")</f>
        <v>36-41</v>
      </c>
      <c r="N282" t="str" cm="1">
        <f t="array" ref="N282">_xlfn.IFS(Table1[[#This Row],[Days Since Last Purchase]]&lt;21,"Active",Table1[[#This Row],[Days Since Last Purchase]]&lt;=42,"Moderately Active",Table1[[#This Row],[Days Since Last Purchase]]&gt;=43, "Inactive")</f>
        <v>Moderately Active</v>
      </c>
      <c r="O282">
        <f>IF(K282="Satisfied",1,IF(K282="Neutral",0.5,IF(K282="Unsatisfied",0,IF(Table1[[#This Row],[Satisfaction Level]]="No Response","0"))))</f>
        <v>0.5</v>
      </c>
    </row>
    <row r="283" spans="1:15" x14ac:dyDescent="0.45">
      <c r="A283">
        <v>382</v>
      </c>
      <c r="B283" t="s">
        <v>11</v>
      </c>
      <c r="C283">
        <v>31</v>
      </c>
      <c r="D283" t="s">
        <v>12</v>
      </c>
      <c r="E283" t="s">
        <v>13</v>
      </c>
      <c r="F283">
        <v>1160.5999999999999</v>
      </c>
      <c r="G283">
        <v>15</v>
      </c>
      <c r="H283">
        <v>4.5</v>
      </c>
      <c r="I283" t="b">
        <v>1</v>
      </c>
      <c r="J283">
        <v>31</v>
      </c>
      <c r="K283" t="s">
        <v>14</v>
      </c>
      <c r="L283" t="str" cm="1">
        <f t="array" ref="L283">_xlfn.IFS(Table1[[#This Row],[Discount Applied]]=TRUE,"Yes",Table1[[#This Row],[Discount Applied]]=FALSE,"No")</f>
        <v>Yes</v>
      </c>
      <c r="M283" t="str" cm="1">
        <f t="array" ref="M283">_xlfn.IFS(Table1[[#This Row],[Age]]&lt;18,"Under 18",Table1[[#This Row],[Age]]&lt;=23,"18-23",Table1[[#This Row],[Age]]&lt;=29,"24-29",Table1[[#This Row],[Age]]&lt;=35,"30-35",Table1[[#This Row],[Age]]&lt;=41,"36-41",Table1[[#This Row],[Age]]&gt;41,"Over 41")</f>
        <v>30-35</v>
      </c>
      <c r="N283" t="str" cm="1">
        <f t="array" ref="N283">_xlfn.IFS(Table1[[#This Row],[Days Since Last Purchase]]&lt;21,"Active",Table1[[#This Row],[Days Since Last Purchase]]&lt;=42,"Moderately Active",Table1[[#This Row],[Days Since Last Purchase]]&gt;=43, "Inactive")</f>
        <v>Moderately Active</v>
      </c>
      <c r="O283">
        <f>IF(K283="Satisfied",1,IF(K283="Neutral",0.5,IF(K283="Unsatisfied",0,IF(Table1[[#This Row],[Satisfaction Level]]="No Response","0"))))</f>
        <v>1</v>
      </c>
    </row>
    <row r="284" spans="1:15" x14ac:dyDescent="0.45">
      <c r="A284">
        <v>383</v>
      </c>
      <c r="B284" t="s">
        <v>15</v>
      </c>
      <c r="C284">
        <v>35</v>
      </c>
      <c r="D284" t="s">
        <v>16</v>
      </c>
      <c r="E284" t="s">
        <v>17</v>
      </c>
      <c r="F284">
        <v>820.9</v>
      </c>
      <c r="G284">
        <v>12</v>
      </c>
      <c r="H284">
        <v>4.3</v>
      </c>
      <c r="I284" t="b">
        <v>0</v>
      </c>
      <c r="J284">
        <v>15</v>
      </c>
      <c r="K284" t="s">
        <v>18</v>
      </c>
      <c r="L284" t="str" cm="1">
        <f t="array" ref="L284">_xlfn.IFS(Table1[[#This Row],[Discount Applied]]=TRUE,"Yes",Table1[[#This Row],[Discount Applied]]=FALSE,"No")</f>
        <v>No</v>
      </c>
      <c r="M284" t="str" cm="1">
        <f t="array" ref="M284">_xlfn.IFS(Table1[[#This Row],[Age]]&lt;18,"Under 18",Table1[[#This Row],[Age]]&lt;=23,"18-23",Table1[[#This Row],[Age]]&lt;=29,"24-29",Table1[[#This Row],[Age]]&lt;=35,"30-35",Table1[[#This Row],[Age]]&lt;=41,"36-41",Table1[[#This Row],[Age]]&gt;41,"Over 41")</f>
        <v>30-35</v>
      </c>
      <c r="N284" t="str" cm="1">
        <f t="array" ref="N284">_xlfn.IFS(Table1[[#This Row],[Days Since Last Purchase]]&lt;21,"Active",Table1[[#This Row],[Days Since Last Purchase]]&lt;=42,"Moderately Active",Table1[[#This Row],[Days Since Last Purchase]]&gt;=43, "Inactive")</f>
        <v>Active</v>
      </c>
      <c r="O284">
        <f>IF(K284="Satisfied",1,IF(K284="Neutral",0.5,IF(K284="Unsatisfied",0,IF(Table1[[#This Row],[Satisfaction Level]]="No Response","0"))))</f>
        <v>0.5</v>
      </c>
    </row>
    <row r="285" spans="1:15" x14ac:dyDescent="0.45">
      <c r="A285">
        <v>384</v>
      </c>
      <c r="B285" t="s">
        <v>11</v>
      </c>
      <c r="C285">
        <v>41</v>
      </c>
      <c r="D285" t="s">
        <v>19</v>
      </c>
      <c r="E285" t="s">
        <v>20</v>
      </c>
      <c r="F285">
        <v>495.25</v>
      </c>
      <c r="G285">
        <v>9</v>
      </c>
      <c r="H285">
        <v>3.6</v>
      </c>
      <c r="I285" t="b">
        <v>1</v>
      </c>
      <c r="J285">
        <v>43</v>
      </c>
      <c r="K285" t="s">
        <v>21</v>
      </c>
      <c r="L285" t="str" cm="1">
        <f t="array" ref="L285">_xlfn.IFS(Table1[[#This Row],[Discount Applied]]=TRUE,"Yes",Table1[[#This Row],[Discount Applied]]=FALSE,"No")</f>
        <v>Yes</v>
      </c>
      <c r="M285" t="str" cm="1">
        <f t="array" ref="M285">_xlfn.IFS(Table1[[#This Row],[Age]]&lt;18,"Under 18",Table1[[#This Row],[Age]]&lt;=23,"18-23",Table1[[#This Row],[Age]]&lt;=29,"24-29",Table1[[#This Row],[Age]]&lt;=35,"30-35",Table1[[#This Row],[Age]]&lt;=41,"36-41",Table1[[#This Row],[Age]]&gt;41,"Over 41")</f>
        <v>36-41</v>
      </c>
      <c r="N285" t="str" cm="1">
        <f t="array" ref="N285">_xlfn.IFS(Table1[[#This Row],[Days Since Last Purchase]]&lt;21,"Active",Table1[[#This Row],[Days Since Last Purchase]]&lt;=42,"Moderately Active",Table1[[#This Row],[Days Since Last Purchase]]&gt;=43, "Inactive")</f>
        <v>Inactive</v>
      </c>
      <c r="O285">
        <f>IF(K285="Satisfied",1,IF(K285="Neutral",0.5,IF(K285="Unsatisfied",0,IF(Table1[[#This Row],[Satisfaction Level]]="No Response","0"))))</f>
        <v>0</v>
      </c>
    </row>
    <row r="286" spans="1:15" x14ac:dyDescent="0.45">
      <c r="A286">
        <v>385</v>
      </c>
      <c r="B286" t="s">
        <v>15</v>
      </c>
      <c r="C286">
        <v>28</v>
      </c>
      <c r="D286" t="s">
        <v>22</v>
      </c>
      <c r="E286" t="s">
        <v>13</v>
      </c>
      <c r="F286">
        <v>1490.1</v>
      </c>
      <c r="G286">
        <v>21</v>
      </c>
      <c r="H286">
        <v>4.9000000000000004</v>
      </c>
      <c r="I286" t="b">
        <v>0</v>
      </c>
      <c r="J286">
        <v>10</v>
      </c>
      <c r="K286" t="s">
        <v>14</v>
      </c>
      <c r="L286" t="str" cm="1">
        <f t="array" ref="L286">_xlfn.IFS(Table1[[#This Row],[Discount Applied]]=TRUE,"Yes",Table1[[#This Row],[Discount Applied]]=FALSE,"No")</f>
        <v>No</v>
      </c>
      <c r="M286" t="str" cm="1">
        <f t="array" ref="M286">_xlfn.IFS(Table1[[#This Row],[Age]]&lt;18,"Under 18",Table1[[#This Row],[Age]]&lt;=23,"18-23",Table1[[#This Row],[Age]]&lt;=29,"24-29",Table1[[#This Row],[Age]]&lt;=35,"30-35",Table1[[#This Row],[Age]]&lt;=41,"36-41",Table1[[#This Row],[Age]]&gt;41,"Over 41")</f>
        <v>24-29</v>
      </c>
      <c r="N286" t="str" cm="1">
        <f t="array" ref="N286">_xlfn.IFS(Table1[[#This Row],[Days Since Last Purchase]]&lt;21,"Active",Table1[[#This Row],[Days Since Last Purchase]]&lt;=42,"Moderately Active",Table1[[#This Row],[Days Since Last Purchase]]&gt;=43, "Inactive")</f>
        <v>Active</v>
      </c>
      <c r="O286">
        <f>IF(K286="Satisfied",1,IF(K286="Neutral",0.5,IF(K286="Unsatisfied",0,IF(Table1[[#This Row],[Satisfaction Level]]="No Response","0"))))</f>
        <v>1</v>
      </c>
    </row>
    <row r="287" spans="1:15" x14ac:dyDescent="0.45">
      <c r="A287">
        <v>386</v>
      </c>
      <c r="B287" t="s">
        <v>15</v>
      </c>
      <c r="C287">
        <v>32</v>
      </c>
      <c r="D287" t="s">
        <v>23</v>
      </c>
      <c r="E287" t="s">
        <v>17</v>
      </c>
      <c r="F287">
        <v>660.3</v>
      </c>
      <c r="G287">
        <v>10</v>
      </c>
      <c r="H287">
        <v>3.8</v>
      </c>
      <c r="I287" t="b">
        <v>1</v>
      </c>
      <c r="J287">
        <v>37</v>
      </c>
      <c r="K287" t="s">
        <v>21</v>
      </c>
      <c r="L287" t="str" cm="1">
        <f t="array" ref="L287">_xlfn.IFS(Table1[[#This Row],[Discount Applied]]=TRUE,"Yes",Table1[[#This Row],[Discount Applied]]=FALSE,"No")</f>
        <v>Yes</v>
      </c>
      <c r="M287" t="str" cm="1">
        <f t="array" ref="M287">_xlfn.IFS(Table1[[#This Row],[Age]]&lt;18,"Under 18",Table1[[#This Row],[Age]]&lt;=23,"18-23",Table1[[#This Row],[Age]]&lt;=29,"24-29",Table1[[#This Row],[Age]]&lt;=35,"30-35",Table1[[#This Row],[Age]]&lt;=41,"36-41",Table1[[#This Row],[Age]]&gt;41,"Over 41")</f>
        <v>30-35</v>
      </c>
      <c r="N287" t="str" cm="1">
        <f t="array" ref="N287">_xlfn.IFS(Table1[[#This Row],[Days Since Last Purchase]]&lt;21,"Active",Table1[[#This Row],[Days Since Last Purchase]]&lt;=42,"Moderately Active",Table1[[#This Row],[Days Since Last Purchase]]&gt;=43, "Inactive")</f>
        <v>Moderately Active</v>
      </c>
      <c r="O287">
        <f>IF(K287="Satisfied",1,IF(K287="Neutral",0.5,IF(K287="Unsatisfied",0,IF(Table1[[#This Row],[Satisfaction Level]]="No Response","0"))))</f>
        <v>0</v>
      </c>
    </row>
    <row r="288" spans="1:15" x14ac:dyDescent="0.45">
      <c r="A288">
        <v>387</v>
      </c>
      <c r="B288" t="s">
        <v>11</v>
      </c>
      <c r="C288">
        <v>36</v>
      </c>
      <c r="D288" t="s">
        <v>24</v>
      </c>
      <c r="E288" t="s">
        <v>20</v>
      </c>
      <c r="F288">
        <v>440.5</v>
      </c>
      <c r="G288">
        <v>8</v>
      </c>
      <c r="H288">
        <v>3.1</v>
      </c>
      <c r="I288" t="b">
        <v>0</v>
      </c>
      <c r="J288">
        <v>23</v>
      </c>
      <c r="K288" t="s">
        <v>18</v>
      </c>
      <c r="L288" t="str" cm="1">
        <f t="array" ref="L288">_xlfn.IFS(Table1[[#This Row],[Discount Applied]]=TRUE,"Yes",Table1[[#This Row],[Discount Applied]]=FALSE,"No")</f>
        <v>No</v>
      </c>
      <c r="M288" t="str" cm="1">
        <f t="array" ref="M288">_xlfn.IFS(Table1[[#This Row],[Age]]&lt;18,"Under 18",Table1[[#This Row],[Age]]&lt;=23,"18-23",Table1[[#This Row],[Age]]&lt;=29,"24-29",Table1[[#This Row],[Age]]&lt;=35,"30-35",Table1[[#This Row],[Age]]&lt;=41,"36-41",Table1[[#This Row],[Age]]&gt;41,"Over 41")</f>
        <v>36-41</v>
      </c>
      <c r="N288" t="str" cm="1">
        <f t="array" ref="N288">_xlfn.IFS(Table1[[#This Row],[Days Since Last Purchase]]&lt;21,"Active",Table1[[#This Row],[Days Since Last Purchase]]&lt;=42,"Moderately Active",Table1[[#This Row],[Days Since Last Purchase]]&gt;=43, "Inactive")</f>
        <v>Moderately Active</v>
      </c>
      <c r="O288">
        <f>IF(K288="Satisfied",1,IF(K288="Neutral",0.5,IF(K288="Unsatisfied",0,IF(Table1[[#This Row],[Satisfaction Level]]="No Response","0"))))</f>
        <v>0.5</v>
      </c>
    </row>
    <row r="289" spans="1:15" x14ac:dyDescent="0.45">
      <c r="A289">
        <v>388</v>
      </c>
      <c r="B289" t="s">
        <v>11</v>
      </c>
      <c r="C289">
        <v>30</v>
      </c>
      <c r="D289" t="s">
        <v>12</v>
      </c>
      <c r="E289" t="s">
        <v>13</v>
      </c>
      <c r="F289">
        <v>1200.8</v>
      </c>
      <c r="G289">
        <v>16</v>
      </c>
      <c r="H289">
        <v>4.7</v>
      </c>
      <c r="I289" t="b">
        <v>1</v>
      </c>
      <c r="J289">
        <v>24</v>
      </c>
      <c r="K289" t="s">
        <v>14</v>
      </c>
      <c r="L289" t="str" cm="1">
        <f t="array" ref="L289">_xlfn.IFS(Table1[[#This Row],[Discount Applied]]=TRUE,"Yes",Table1[[#This Row],[Discount Applied]]=FALSE,"No")</f>
        <v>Yes</v>
      </c>
      <c r="M289" t="str" cm="1">
        <f t="array" ref="M289">_xlfn.IFS(Table1[[#This Row],[Age]]&lt;18,"Under 18",Table1[[#This Row],[Age]]&lt;=23,"18-23",Table1[[#This Row],[Age]]&lt;=29,"24-29",Table1[[#This Row],[Age]]&lt;=35,"30-35",Table1[[#This Row],[Age]]&lt;=41,"36-41",Table1[[#This Row],[Age]]&gt;41,"Over 41")</f>
        <v>30-35</v>
      </c>
      <c r="N289" t="str" cm="1">
        <f t="array" ref="N289">_xlfn.IFS(Table1[[#This Row],[Days Since Last Purchase]]&lt;21,"Active",Table1[[#This Row],[Days Since Last Purchase]]&lt;=42,"Moderately Active",Table1[[#This Row],[Days Since Last Purchase]]&gt;=43, "Inactive")</f>
        <v>Moderately Active</v>
      </c>
      <c r="O289">
        <f>IF(K289="Satisfied",1,IF(K289="Neutral",0.5,IF(K289="Unsatisfied",0,IF(Table1[[#This Row],[Satisfaction Level]]="No Response","0"))))</f>
        <v>1</v>
      </c>
    </row>
    <row r="290" spans="1:15" x14ac:dyDescent="0.45">
      <c r="A290">
        <v>389</v>
      </c>
      <c r="B290" t="s">
        <v>15</v>
      </c>
      <c r="C290">
        <v>34</v>
      </c>
      <c r="D290" t="s">
        <v>16</v>
      </c>
      <c r="E290" t="s">
        <v>17</v>
      </c>
      <c r="F290">
        <v>780.2</v>
      </c>
      <c r="G290">
        <v>11</v>
      </c>
      <c r="H290">
        <v>4.0999999999999996</v>
      </c>
      <c r="I290" t="b">
        <v>0</v>
      </c>
      <c r="J290">
        <v>16</v>
      </c>
      <c r="K290" t="s">
        <v>18</v>
      </c>
      <c r="L290" t="str" cm="1">
        <f t="array" ref="L290">_xlfn.IFS(Table1[[#This Row],[Discount Applied]]=TRUE,"Yes",Table1[[#This Row],[Discount Applied]]=FALSE,"No")</f>
        <v>No</v>
      </c>
      <c r="M290" t="str" cm="1">
        <f t="array" ref="M290">_xlfn.IFS(Table1[[#This Row],[Age]]&lt;18,"Under 18",Table1[[#This Row],[Age]]&lt;=23,"18-23",Table1[[#This Row],[Age]]&lt;=29,"24-29",Table1[[#This Row],[Age]]&lt;=35,"30-35",Table1[[#This Row],[Age]]&lt;=41,"36-41",Table1[[#This Row],[Age]]&gt;41,"Over 41")</f>
        <v>30-35</v>
      </c>
      <c r="N290" t="str" cm="1">
        <f t="array" ref="N290">_xlfn.IFS(Table1[[#This Row],[Days Since Last Purchase]]&lt;21,"Active",Table1[[#This Row],[Days Since Last Purchase]]&lt;=42,"Moderately Active",Table1[[#This Row],[Days Since Last Purchase]]&gt;=43, "Inactive")</f>
        <v>Active</v>
      </c>
      <c r="O290">
        <f>IF(K290="Satisfied",1,IF(K290="Neutral",0.5,IF(K290="Unsatisfied",0,IF(Table1[[#This Row],[Satisfaction Level]]="No Response","0"))))</f>
        <v>0.5</v>
      </c>
    </row>
    <row r="291" spans="1:15" x14ac:dyDescent="0.45">
      <c r="A291">
        <v>390</v>
      </c>
      <c r="B291" t="s">
        <v>11</v>
      </c>
      <c r="C291">
        <v>43</v>
      </c>
      <c r="D291" t="s">
        <v>19</v>
      </c>
      <c r="E291" t="s">
        <v>20</v>
      </c>
      <c r="F291">
        <v>505.75</v>
      </c>
      <c r="G291">
        <v>10</v>
      </c>
      <c r="H291">
        <v>3.3</v>
      </c>
      <c r="I291" t="b">
        <v>1</v>
      </c>
      <c r="J291">
        <v>44</v>
      </c>
      <c r="K291" t="s">
        <v>21</v>
      </c>
      <c r="L291" t="str" cm="1">
        <f t="array" ref="L291">_xlfn.IFS(Table1[[#This Row],[Discount Applied]]=TRUE,"Yes",Table1[[#This Row],[Discount Applied]]=FALSE,"No")</f>
        <v>Yes</v>
      </c>
      <c r="M291" t="str" cm="1">
        <f t="array" ref="M291">_xlfn.IFS(Table1[[#This Row],[Age]]&lt;18,"Under 18",Table1[[#This Row],[Age]]&lt;=23,"18-23",Table1[[#This Row],[Age]]&lt;=29,"24-29",Table1[[#This Row],[Age]]&lt;=35,"30-35",Table1[[#This Row],[Age]]&lt;=41,"36-41",Table1[[#This Row],[Age]]&gt;41,"Over 41")</f>
        <v>Over 41</v>
      </c>
      <c r="N291" t="str" cm="1">
        <f t="array" ref="N291">_xlfn.IFS(Table1[[#This Row],[Days Since Last Purchase]]&lt;21,"Active",Table1[[#This Row],[Days Since Last Purchase]]&lt;=42,"Moderately Active",Table1[[#This Row],[Days Since Last Purchase]]&gt;=43, "Inactive")</f>
        <v>Inactive</v>
      </c>
      <c r="O291">
        <f>IF(K291="Satisfied",1,IF(K291="Neutral",0.5,IF(K291="Unsatisfied",0,IF(Table1[[#This Row],[Satisfaction Level]]="No Response","0"))))</f>
        <v>0</v>
      </c>
    </row>
    <row r="292" spans="1:15" x14ac:dyDescent="0.45">
      <c r="A292">
        <v>391</v>
      </c>
      <c r="B292" t="s">
        <v>15</v>
      </c>
      <c r="C292">
        <v>30</v>
      </c>
      <c r="D292" t="s">
        <v>22</v>
      </c>
      <c r="E292" t="s">
        <v>13</v>
      </c>
      <c r="F292">
        <v>1460.5</v>
      </c>
      <c r="G292">
        <v>20</v>
      </c>
      <c r="H292">
        <v>4.8</v>
      </c>
      <c r="I292" t="b">
        <v>0</v>
      </c>
      <c r="J292">
        <v>13</v>
      </c>
      <c r="K292" t="s">
        <v>14</v>
      </c>
      <c r="L292" t="str" cm="1">
        <f t="array" ref="L292">_xlfn.IFS(Table1[[#This Row],[Discount Applied]]=TRUE,"Yes",Table1[[#This Row],[Discount Applied]]=FALSE,"No")</f>
        <v>No</v>
      </c>
      <c r="M292" t="str" cm="1">
        <f t="array" ref="M292">_xlfn.IFS(Table1[[#This Row],[Age]]&lt;18,"Under 18",Table1[[#This Row],[Age]]&lt;=23,"18-23",Table1[[#This Row],[Age]]&lt;=29,"24-29",Table1[[#This Row],[Age]]&lt;=35,"30-35",Table1[[#This Row],[Age]]&lt;=41,"36-41",Table1[[#This Row],[Age]]&gt;41,"Over 41")</f>
        <v>30-35</v>
      </c>
      <c r="N292" t="str" cm="1">
        <f t="array" ref="N292">_xlfn.IFS(Table1[[#This Row],[Days Since Last Purchase]]&lt;21,"Active",Table1[[#This Row],[Days Since Last Purchase]]&lt;=42,"Moderately Active",Table1[[#This Row],[Days Since Last Purchase]]&gt;=43, "Inactive")</f>
        <v>Active</v>
      </c>
      <c r="O292">
        <f>IF(K292="Satisfied",1,IF(K292="Neutral",0.5,IF(K292="Unsatisfied",0,IF(Table1[[#This Row],[Satisfaction Level]]="No Response","0"))))</f>
        <v>1</v>
      </c>
    </row>
    <row r="293" spans="1:15" x14ac:dyDescent="0.45">
      <c r="A293">
        <v>392</v>
      </c>
      <c r="B293" t="s">
        <v>15</v>
      </c>
      <c r="C293">
        <v>27</v>
      </c>
      <c r="D293" t="s">
        <v>23</v>
      </c>
      <c r="E293" t="s">
        <v>17</v>
      </c>
      <c r="F293">
        <v>710.4</v>
      </c>
      <c r="G293">
        <v>13</v>
      </c>
      <c r="H293">
        <v>4.0999999999999996</v>
      </c>
      <c r="I293" t="b">
        <v>1</v>
      </c>
      <c r="J293">
        <v>59</v>
      </c>
      <c r="K293" t="s">
        <v>21</v>
      </c>
      <c r="L293" t="str" cm="1">
        <f t="array" ref="L293">_xlfn.IFS(Table1[[#This Row],[Discount Applied]]=TRUE,"Yes",Table1[[#This Row],[Discount Applied]]=FALSE,"No")</f>
        <v>Yes</v>
      </c>
      <c r="M293" t="str" cm="1">
        <f t="array" ref="M293">_xlfn.IFS(Table1[[#This Row],[Age]]&lt;18,"Under 18",Table1[[#This Row],[Age]]&lt;=23,"18-23",Table1[[#This Row],[Age]]&lt;=29,"24-29",Table1[[#This Row],[Age]]&lt;=35,"30-35",Table1[[#This Row],[Age]]&lt;=41,"36-41",Table1[[#This Row],[Age]]&gt;41,"Over 41")</f>
        <v>24-29</v>
      </c>
      <c r="N293" t="str" cm="1">
        <f t="array" ref="N293">_xlfn.IFS(Table1[[#This Row],[Days Since Last Purchase]]&lt;21,"Active",Table1[[#This Row],[Days Since Last Purchase]]&lt;=42,"Moderately Active",Table1[[#This Row],[Days Since Last Purchase]]&gt;=43, "Inactive")</f>
        <v>Inactive</v>
      </c>
      <c r="O293">
        <f>IF(K293="Satisfied",1,IF(K293="Neutral",0.5,IF(K293="Unsatisfied",0,IF(Table1[[#This Row],[Satisfaction Level]]="No Response","0"))))</f>
        <v>0</v>
      </c>
    </row>
    <row r="294" spans="1:15" x14ac:dyDescent="0.45">
      <c r="A294">
        <v>393</v>
      </c>
      <c r="B294" t="s">
        <v>11</v>
      </c>
      <c r="C294">
        <v>37</v>
      </c>
      <c r="D294" t="s">
        <v>24</v>
      </c>
      <c r="E294" t="s">
        <v>20</v>
      </c>
      <c r="F294">
        <v>450.8</v>
      </c>
      <c r="G294">
        <v>7</v>
      </c>
      <c r="H294">
        <v>3.4</v>
      </c>
      <c r="I294" t="b">
        <v>0</v>
      </c>
      <c r="J294">
        <v>28</v>
      </c>
      <c r="K294" t="s">
        <v>18</v>
      </c>
      <c r="L294" t="str" cm="1">
        <f t="array" ref="L294">_xlfn.IFS(Table1[[#This Row],[Discount Applied]]=TRUE,"Yes",Table1[[#This Row],[Discount Applied]]=FALSE,"No")</f>
        <v>No</v>
      </c>
      <c r="M294" t="str" cm="1">
        <f t="array" ref="M294">_xlfn.IFS(Table1[[#This Row],[Age]]&lt;18,"Under 18",Table1[[#This Row],[Age]]&lt;=23,"18-23",Table1[[#This Row],[Age]]&lt;=29,"24-29",Table1[[#This Row],[Age]]&lt;=35,"30-35",Table1[[#This Row],[Age]]&lt;=41,"36-41",Table1[[#This Row],[Age]]&gt;41,"Over 41")</f>
        <v>36-41</v>
      </c>
      <c r="N294" t="str" cm="1">
        <f t="array" ref="N294">_xlfn.IFS(Table1[[#This Row],[Days Since Last Purchase]]&lt;21,"Active",Table1[[#This Row],[Days Since Last Purchase]]&lt;=42,"Moderately Active",Table1[[#This Row],[Days Since Last Purchase]]&gt;=43, "Inactive")</f>
        <v>Moderately Active</v>
      </c>
      <c r="O294">
        <f>IF(K294="Satisfied",1,IF(K294="Neutral",0.5,IF(K294="Unsatisfied",0,IF(Table1[[#This Row],[Satisfaction Level]]="No Response","0"))))</f>
        <v>0.5</v>
      </c>
    </row>
    <row r="295" spans="1:15" x14ac:dyDescent="0.45">
      <c r="A295">
        <v>394</v>
      </c>
      <c r="B295" t="s">
        <v>11</v>
      </c>
      <c r="C295">
        <v>31</v>
      </c>
      <c r="D295" t="s">
        <v>12</v>
      </c>
      <c r="E295" t="s">
        <v>13</v>
      </c>
      <c r="F295">
        <v>1140.5999999999999</v>
      </c>
      <c r="G295">
        <v>15</v>
      </c>
      <c r="H295">
        <v>4.5</v>
      </c>
      <c r="I295" t="b">
        <v>1</v>
      </c>
      <c r="J295">
        <v>32</v>
      </c>
      <c r="K295" t="s">
        <v>14</v>
      </c>
      <c r="L295" t="str" cm="1">
        <f t="array" ref="L295">_xlfn.IFS(Table1[[#This Row],[Discount Applied]]=TRUE,"Yes",Table1[[#This Row],[Discount Applied]]=FALSE,"No")</f>
        <v>Yes</v>
      </c>
      <c r="M295" t="str" cm="1">
        <f t="array" ref="M295">_xlfn.IFS(Table1[[#This Row],[Age]]&lt;18,"Under 18",Table1[[#This Row],[Age]]&lt;=23,"18-23",Table1[[#This Row],[Age]]&lt;=29,"24-29",Table1[[#This Row],[Age]]&lt;=35,"30-35",Table1[[#This Row],[Age]]&lt;=41,"36-41",Table1[[#This Row],[Age]]&gt;41,"Over 41")</f>
        <v>30-35</v>
      </c>
      <c r="N295" t="str" cm="1">
        <f t="array" ref="N295">_xlfn.IFS(Table1[[#This Row],[Days Since Last Purchase]]&lt;21,"Active",Table1[[#This Row],[Days Since Last Purchase]]&lt;=42,"Moderately Active",Table1[[#This Row],[Days Since Last Purchase]]&gt;=43, "Inactive")</f>
        <v>Moderately Active</v>
      </c>
      <c r="O295">
        <f>IF(K295="Satisfied",1,IF(K295="Neutral",0.5,IF(K295="Unsatisfied",0,IF(Table1[[#This Row],[Satisfaction Level]]="No Response","0"))))</f>
        <v>1</v>
      </c>
    </row>
    <row r="296" spans="1:15" x14ac:dyDescent="0.45">
      <c r="A296">
        <v>395</v>
      </c>
      <c r="B296" t="s">
        <v>15</v>
      </c>
      <c r="C296">
        <v>35</v>
      </c>
      <c r="D296" t="s">
        <v>16</v>
      </c>
      <c r="E296" t="s">
        <v>17</v>
      </c>
      <c r="F296">
        <v>800.9</v>
      </c>
      <c r="G296">
        <v>12</v>
      </c>
      <c r="H296">
        <v>4.0999999999999996</v>
      </c>
      <c r="I296" t="b">
        <v>0</v>
      </c>
      <c r="J296">
        <v>17</v>
      </c>
      <c r="K296" t="s">
        <v>18</v>
      </c>
      <c r="L296" t="str" cm="1">
        <f t="array" ref="L296">_xlfn.IFS(Table1[[#This Row],[Discount Applied]]=TRUE,"Yes",Table1[[#This Row],[Discount Applied]]=FALSE,"No")</f>
        <v>No</v>
      </c>
      <c r="M296" t="str" cm="1">
        <f t="array" ref="M296">_xlfn.IFS(Table1[[#This Row],[Age]]&lt;18,"Under 18",Table1[[#This Row],[Age]]&lt;=23,"18-23",Table1[[#This Row],[Age]]&lt;=29,"24-29",Table1[[#This Row],[Age]]&lt;=35,"30-35",Table1[[#This Row],[Age]]&lt;=41,"36-41",Table1[[#This Row],[Age]]&gt;41,"Over 41")</f>
        <v>30-35</v>
      </c>
      <c r="N296" t="str" cm="1">
        <f t="array" ref="N296">_xlfn.IFS(Table1[[#This Row],[Days Since Last Purchase]]&lt;21,"Active",Table1[[#This Row],[Days Since Last Purchase]]&lt;=42,"Moderately Active",Table1[[#This Row],[Days Since Last Purchase]]&gt;=43, "Inactive")</f>
        <v>Active</v>
      </c>
      <c r="O296">
        <f>IF(K296="Satisfied",1,IF(K296="Neutral",0.5,IF(K296="Unsatisfied",0,IF(Table1[[#This Row],[Satisfaction Level]]="No Response","0"))))</f>
        <v>0.5</v>
      </c>
    </row>
    <row r="297" spans="1:15" x14ac:dyDescent="0.45">
      <c r="A297">
        <v>396</v>
      </c>
      <c r="B297" t="s">
        <v>11</v>
      </c>
      <c r="C297">
        <v>41</v>
      </c>
      <c r="D297" t="s">
        <v>19</v>
      </c>
      <c r="E297" t="s">
        <v>20</v>
      </c>
      <c r="F297">
        <v>475.25</v>
      </c>
      <c r="G297">
        <v>9</v>
      </c>
      <c r="H297">
        <v>3.6</v>
      </c>
      <c r="I297" t="b">
        <v>1</v>
      </c>
      <c r="J297">
        <v>44</v>
      </c>
      <c r="K297" t="s">
        <v>21</v>
      </c>
      <c r="L297" t="str" cm="1">
        <f t="array" ref="L297">_xlfn.IFS(Table1[[#This Row],[Discount Applied]]=TRUE,"Yes",Table1[[#This Row],[Discount Applied]]=FALSE,"No")</f>
        <v>Yes</v>
      </c>
      <c r="M297" t="str" cm="1">
        <f t="array" ref="M297">_xlfn.IFS(Table1[[#This Row],[Age]]&lt;18,"Under 18",Table1[[#This Row],[Age]]&lt;=23,"18-23",Table1[[#This Row],[Age]]&lt;=29,"24-29",Table1[[#This Row],[Age]]&lt;=35,"30-35",Table1[[#This Row],[Age]]&lt;=41,"36-41",Table1[[#This Row],[Age]]&gt;41,"Over 41")</f>
        <v>36-41</v>
      </c>
      <c r="N297" t="str" cm="1">
        <f t="array" ref="N297">_xlfn.IFS(Table1[[#This Row],[Days Since Last Purchase]]&lt;21,"Active",Table1[[#This Row],[Days Since Last Purchase]]&lt;=42,"Moderately Active",Table1[[#This Row],[Days Since Last Purchase]]&gt;=43, "Inactive")</f>
        <v>Inactive</v>
      </c>
      <c r="O297">
        <f>IF(K297="Satisfied",1,IF(K297="Neutral",0.5,IF(K297="Unsatisfied",0,IF(Table1[[#This Row],[Satisfaction Level]]="No Response","0"))))</f>
        <v>0</v>
      </c>
    </row>
    <row r="298" spans="1:15" x14ac:dyDescent="0.45">
      <c r="A298">
        <v>397</v>
      </c>
      <c r="B298" t="s">
        <v>15</v>
      </c>
      <c r="C298">
        <v>28</v>
      </c>
      <c r="D298" t="s">
        <v>22</v>
      </c>
      <c r="E298" t="s">
        <v>13</v>
      </c>
      <c r="F298">
        <v>1480.1</v>
      </c>
      <c r="G298">
        <v>21</v>
      </c>
      <c r="H298">
        <v>4.9000000000000004</v>
      </c>
      <c r="I298" t="b">
        <v>0</v>
      </c>
      <c r="J298">
        <v>12</v>
      </c>
      <c r="K298" t="s">
        <v>14</v>
      </c>
      <c r="L298" t="str" cm="1">
        <f t="array" ref="L298">_xlfn.IFS(Table1[[#This Row],[Discount Applied]]=TRUE,"Yes",Table1[[#This Row],[Discount Applied]]=FALSE,"No")</f>
        <v>No</v>
      </c>
      <c r="M298" t="str" cm="1">
        <f t="array" ref="M298">_xlfn.IFS(Table1[[#This Row],[Age]]&lt;18,"Under 18",Table1[[#This Row],[Age]]&lt;=23,"18-23",Table1[[#This Row],[Age]]&lt;=29,"24-29",Table1[[#This Row],[Age]]&lt;=35,"30-35",Table1[[#This Row],[Age]]&lt;=41,"36-41",Table1[[#This Row],[Age]]&gt;41,"Over 41")</f>
        <v>24-29</v>
      </c>
      <c r="N298" t="str" cm="1">
        <f t="array" ref="N298">_xlfn.IFS(Table1[[#This Row],[Days Since Last Purchase]]&lt;21,"Active",Table1[[#This Row],[Days Since Last Purchase]]&lt;=42,"Moderately Active",Table1[[#This Row],[Days Since Last Purchase]]&gt;=43, "Inactive")</f>
        <v>Active</v>
      </c>
      <c r="O298">
        <f>IF(K298="Satisfied",1,IF(K298="Neutral",0.5,IF(K298="Unsatisfied",0,IF(Table1[[#This Row],[Satisfaction Level]]="No Response","0"))))</f>
        <v>1</v>
      </c>
    </row>
    <row r="299" spans="1:15" x14ac:dyDescent="0.45">
      <c r="A299">
        <v>398</v>
      </c>
      <c r="B299" t="s">
        <v>15</v>
      </c>
      <c r="C299">
        <v>32</v>
      </c>
      <c r="D299" t="s">
        <v>23</v>
      </c>
      <c r="E299" t="s">
        <v>17</v>
      </c>
      <c r="F299">
        <v>660.3</v>
      </c>
      <c r="G299">
        <v>10</v>
      </c>
      <c r="H299">
        <v>3.8</v>
      </c>
      <c r="I299" t="b">
        <v>1</v>
      </c>
      <c r="J299">
        <v>38</v>
      </c>
      <c r="K299" t="s">
        <v>21</v>
      </c>
      <c r="L299" t="str" cm="1">
        <f t="array" ref="L299">_xlfn.IFS(Table1[[#This Row],[Discount Applied]]=TRUE,"Yes",Table1[[#This Row],[Discount Applied]]=FALSE,"No")</f>
        <v>Yes</v>
      </c>
      <c r="M299" t="str" cm="1">
        <f t="array" ref="M299">_xlfn.IFS(Table1[[#This Row],[Age]]&lt;18,"Under 18",Table1[[#This Row],[Age]]&lt;=23,"18-23",Table1[[#This Row],[Age]]&lt;=29,"24-29",Table1[[#This Row],[Age]]&lt;=35,"30-35",Table1[[#This Row],[Age]]&lt;=41,"36-41",Table1[[#This Row],[Age]]&gt;41,"Over 41")</f>
        <v>30-35</v>
      </c>
      <c r="N299" t="str" cm="1">
        <f t="array" ref="N299">_xlfn.IFS(Table1[[#This Row],[Days Since Last Purchase]]&lt;21,"Active",Table1[[#This Row],[Days Since Last Purchase]]&lt;=42,"Moderately Active",Table1[[#This Row],[Days Since Last Purchase]]&gt;=43, "Inactive")</f>
        <v>Moderately Active</v>
      </c>
      <c r="O299">
        <f>IF(K299="Satisfied",1,IF(K299="Neutral",0.5,IF(K299="Unsatisfied",0,IF(Table1[[#This Row],[Satisfaction Level]]="No Response","0"))))</f>
        <v>0</v>
      </c>
    </row>
    <row r="300" spans="1:15" x14ac:dyDescent="0.45">
      <c r="A300">
        <v>399</v>
      </c>
      <c r="B300" t="s">
        <v>11</v>
      </c>
      <c r="C300">
        <v>36</v>
      </c>
      <c r="D300" t="s">
        <v>24</v>
      </c>
      <c r="E300" t="s">
        <v>20</v>
      </c>
      <c r="F300">
        <v>470.5</v>
      </c>
      <c r="G300">
        <v>8</v>
      </c>
      <c r="H300">
        <v>3</v>
      </c>
      <c r="I300" t="b">
        <v>0</v>
      </c>
      <c r="J300">
        <v>22</v>
      </c>
      <c r="K300" t="s">
        <v>18</v>
      </c>
      <c r="L300" t="str" cm="1">
        <f t="array" ref="L300">_xlfn.IFS(Table1[[#This Row],[Discount Applied]]=TRUE,"Yes",Table1[[#This Row],[Discount Applied]]=FALSE,"No")</f>
        <v>No</v>
      </c>
      <c r="M300" t="str" cm="1">
        <f t="array" ref="M300">_xlfn.IFS(Table1[[#This Row],[Age]]&lt;18,"Under 18",Table1[[#This Row],[Age]]&lt;=23,"18-23",Table1[[#This Row],[Age]]&lt;=29,"24-29",Table1[[#This Row],[Age]]&lt;=35,"30-35",Table1[[#This Row],[Age]]&lt;=41,"36-41",Table1[[#This Row],[Age]]&gt;41,"Over 41")</f>
        <v>36-41</v>
      </c>
      <c r="N300" t="str" cm="1">
        <f t="array" ref="N300">_xlfn.IFS(Table1[[#This Row],[Days Since Last Purchase]]&lt;21,"Active",Table1[[#This Row],[Days Since Last Purchase]]&lt;=42,"Moderately Active",Table1[[#This Row],[Days Since Last Purchase]]&gt;=43, "Inactive")</f>
        <v>Moderately Active</v>
      </c>
      <c r="O300">
        <f>IF(K300="Satisfied",1,IF(K300="Neutral",0.5,IF(K300="Unsatisfied",0,IF(Table1[[#This Row],[Satisfaction Level]]="No Response","0"))))</f>
        <v>0.5</v>
      </c>
    </row>
    <row r="301" spans="1:15" x14ac:dyDescent="0.45">
      <c r="A301">
        <v>400</v>
      </c>
      <c r="B301" t="s">
        <v>11</v>
      </c>
      <c r="C301">
        <v>30</v>
      </c>
      <c r="D301" t="s">
        <v>12</v>
      </c>
      <c r="E301" t="s">
        <v>13</v>
      </c>
      <c r="F301">
        <v>1190.8</v>
      </c>
      <c r="G301">
        <v>16</v>
      </c>
      <c r="H301">
        <v>4.5</v>
      </c>
      <c r="I301" t="b">
        <v>1</v>
      </c>
      <c r="J301">
        <v>25</v>
      </c>
      <c r="K301" t="s">
        <v>14</v>
      </c>
      <c r="L301" t="str" cm="1">
        <f t="array" ref="L301">_xlfn.IFS(Table1[[#This Row],[Discount Applied]]=TRUE,"Yes",Table1[[#This Row],[Discount Applied]]=FALSE,"No")</f>
        <v>Yes</v>
      </c>
      <c r="M301" t="str" cm="1">
        <f t="array" ref="M301">_xlfn.IFS(Table1[[#This Row],[Age]]&lt;18,"Under 18",Table1[[#This Row],[Age]]&lt;=23,"18-23",Table1[[#This Row],[Age]]&lt;=29,"24-29",Table1[[#This Row],[Age]]&lt;=35,"30-35",Table1[[#This Row],[Age]]&lt;=41,"36-41",Table1[[#This Row],[Age]]&gt;41,"Over 41")</f>
        <v>30-35</v>
      </c>
      <c r="N301" t="str" cm="1">
        <f t="array" ref="N301">_xlfn.IFS(Table1[[#This Row],[Days Since Last Purchase]]&lt;21,"Active",Table1[[#This Row],[Days Since Last Purchase]]&lt;=42,"Moderately Active",Table1[[#This Row],[Days Since Last Purchase]]&gt;=43, "Inactive")</f>
        <v>Moderately Active</v>
      </c>
      <c r="O301">
        <f>IF(K301="Satisfied",1,IF(K301="Neutral",0.5,IF(K301="Unsatisfied",0,IF(Table1[[#This Row],[Satisfaction Level]]="No Response","0"))))</f>
        <v>1</v>
      </c>
    </row>
    <row r="302" spans="1:15" x14ac:dyDescent="0.45">
      <c r="A302">
        <v>401</v>
      </c>
      <c r="B302" t="s">
        <v>15</v>
      </c>
      <c r="C302">
        <v>33</v>
      </c>
      <c r="D302" t="s">
        <v>16</v>
      </c>
      <c r="E302" t="s">
        <v>17</v>
      </c>
      <c r="F302">
        <v>800.2</v>
      </c>
      <c r="G302">
        <v>11</v>
      </c>
      <c r="H302">
        <v>4.0999999999999996</v>
      </c>
      <c r="I302" t="b">
        <v>0</v>
      </c>
      <c r="J302">
        <v>18</v>
      </c>
      <c r="K302" t="s">
        <v>18</v>
      </c>
      <c r="L302" t="str" cm="1">
        <f t="array" ref="L302">_xlfn.IFS(Table1[[#This Row],[Discount Applied]]=TRUE,"Yes",Table1[[#This Row],[Discount Applied]]=FALSE,"No")</f>
        <v>No</v>
      </c>
      <c r="M302" t="str" cm="1">
        <f t="array" ref="M302">_xlfn.IFS(Table1[[#This Row],[Age]]&lt;18,"Under 18",Table1[[#This Row],[Age]]&lt;=23,"18-23",Table1[[#This Row],[Age]]&lt;=29,"24-29",Table1[[#This Row],[Age]]&lt;=35,"30-35",Table1[[#This Row],[Age]]&lt;=41,"36-41",Table1[[#This Row],[Age]]&gt;41,"Over 41")</f>
        <v>30-35</v>
      </c>
      <c r="N302" t="str" cm="1">
        <f t="array" ref="N302">_xlfn.IFS(Table1[[#This Row],[Days Since Last Purchase]]&lt;21,"Active",Table1[[#This Row],[Days Since Last Purchase]]&lt;=42,"Moderately Active",Table1[[#This Row],[Days Since Last Purchase]]&gt;=43, "Inactive")</f>
        <v>Active</v>
      </c>
      <c r="O302">
        <f>IF(K302="Satisfied",1,IF(K302="Neutral",0.5,IF(K302="Unsatisfied",0,IF(Table1[[#This Row],[Satisfaction Level]]="No Response","0"))))</f>
        <v>0.5</v>
      </c>
    </row>
    <row r="303" spans="1:15" x14ac:dyDescent="0.45">
      <c r="A303">
        <v>402</v>
      </c>
      <c r="B303" t="s">
        <v>11</v>
      </c>
      <c r="C303">
        <v>43</v>
      </c>
      <c r="D303" t="s">
        <v>19</v>
      </c>
      <c r="E303" t="s">
        <v>20</v>
      </c>
      <c r="F303">
        <v>515.75</v>
      </c>
      <c r="G303">
        <v>10</v>
      </c>
      <c r="H303">
        <v>3.3</v>
      </c>
      <c r="I303" t="b">
        <v>1</v>
      </c>
      <c r="J303">
        <v>45</v>
      </c>
      <c r="K303" t="s">
        <v>21</v>
      </c>
      <c r="L303" t="str" cm="1">
        <f t="array" ref="L303">_xlfn.IFS(Table1[[#This Row],[Discount Applied]]=TRUE,"Yes",Table1[[#This Row],[Discount Applied]]=FALSE,"No")</f>
        <v>Yes</v>
      </c>
      <c r="M303" t="str" cm="1">
        <f t="array" ref="M303">_xlfn.IFS(Table1[[#This Row],[Age]]&lt;18,"Under 18",Table1[[#This Row],[Age]]&lt;=23,"18-23",Table1[[#This Row],[Age]]&lt;=29,"24-29",Table1[[#This Row],[Age]]&lt;=35,"30-35",Table1[[#This Row],[Age]]&lt;=41,"36-41",Table1[[#This Row],[Age]]&gt;41,"Over 41")</f>
        <v>Over 41</v>
      </c>
      <c r="N303" t="str" cm="1">
        <f t="array" ref="N303">_xlfn.IFS(Table1[[#This Row],[Days Since Last Purchase]]&lt;21,"Active",Table1[[#This Row],[Days Since Last Purchase]]&lt;=42,"Moderately Active",Table1[[#This Row],[Days Since Last Purchase]]&gt;=43, "Inactive")</f>
        <v>Inactive</v>
      </c>
      <c r="O303">
        <f>IF(K303="Satisfied",1,IF(K303="Neutral",0.5,IF(K303="Unsatisfied",0,IF(Table1[[#This Row],[Satisfaction Level]]="No Response","0"))))</f>
        <v>0</v>
      </c>
    </row>
    <row r="304" spans="1:15" x14ac:dyDescent="0.45">
      <c r="A304">
        <v>403</v>
      </c>
      <c r="B304" t="s">
        <v>15</v>
      </c>
      <c r="C304">
        <v>30</v>
      </c>
      <c r="D304" t="s">
        <v>22</v>
      </c>
      <c r="E304" t="s">
        <v>13</v>
      </c>
      <c r="F304">
        <v>1450.5</v>
      </c>
      <c r="G304">
        <v>19</v>
      </c>
      <c r="H304">
        <v>4.5999999999999996</v>
      </c>
      <c r="I304" t="b">
        <v>0</v>
      </c>
      <c r="J304">
        <v>13</v>
      </c>
      <c r="K304" t="s">
        <v>14</v>
      </c>
      <c r="L304" t="str" cm="1">
        <f t="array" ref="L304">_xlfn.IFS(Table1[[#This Row],[Discount Applied]]=TRUE,"Yes",Table1[[#This Row],[Discount Applied]]=FALSE,"No")</f>
        <v>No</v>
      </c>
      <c r="M304" t="str" cm="1">
        <f t="array" ref="M304">_xlfn.IFS(Table1[[#This Row],[Age]]&lt;18,"Under 18",Table1[[#This Row],[Age]]&lt;=23,"18-23",Table1[[#This Row],[Age]]&lt;=29,"24-29",Table1[[#This Row],[Age]]&lt;=35,"30-35",Table1[[#This Row],[Age]]&lt;=41,"36-41",Table1[[#This Row],[Age]]&gt;41,"Over 41")</f>
        <v>30-35</v>
      </c>
      <c r="N304" t="str" cm="1">
        <f t="array" ref="N304">_xlfn.IFS(Table1[[#This Row],[Days Since Last Purchase]]&lt;21,"Active",Table1[[#This Row],[Days Since Last Purchase]]&lt;=42,"Moderately Active",Table1[[#This Row],[Days Since Last Purchase]]&gt;=43, "Inactive")</f>
        <v>Active</v>
      </c>
      <c r="O304">
        <f>IF(K304="Satisfied",1,IF(K304="Neutral",0.5,IF(K304="Unsatisfied",0,IF(Table1[[#This Row],[Satisfaction Level]]="No Response","0"))))</f>
        <v>1</v>
      </c>
    </row>
    <row r="305" spans="1:15" x14ac:dyDescent="0.45">
      <c r="A305">
        <v>404</v>
      </c>
      <c r="B305" t="s">
        <v>15</v>
      </c>
      <c r="C305">
        <v>27</v>
      </c>
      <c r="D305" t="s">
        <v>23</v>
      </c>
      <c r="E305" t="s">
        <v>17</v>
      </c>
      <c r="F305">
        <v>710.4</v>
      </c>
      <c r="G305">
        <v>13</v>
      </c>
      <c r="H305">
        <v>4.0999999999999996</v>
      </c>
      <c r="I305" t="b">
        <v>1</v>
      </c>
      <c r="J305">
        <v>60</v>
      </c>
      <c r="K305" t="s">
        <v>21</v>
      </c>
      <c r="L305" t="str" cm="1">
        <f t="array" ref="L305">_xlfn.IFS(Table1[[#This Row],[Discount Applied]]=TRUE,"Yes",Table1[[#This Row],[Discount Applied]]=FALSE,"No")</f>
        <v>Yes</v>
      </c>
      <c r="M305" t="str" cm="1">
        <f t="array" ref="M305">_xlfn.IFS(Table1[[#This Row],[Age]]&lt;18,"Under 18",Table1[[#This Row],[Age]]&lt;=23,"18-23",Table1[[#This Row],[Age]]&lt;=29,"24-29",Table1[[#This Row],[Age]]&lt;=35,"30-35",Table1[[#This Row],[Age]]&lt;=41,"36-41",Table1[[#This Row],[Age]]&gt;41,"Over 41")</f>
        <v>24-29</v>
      </c>
      <c r="N305" t="str" cm="1">
        <f t="array" ref="N305">_xlfn.IFS(Table1[[#This Row],[Days Since Last Purchase]]&lt;21,"Active",Table1[[#This Row],[Days Since Last Purchase]]&lt;=42,"Moderately Active",Table1[[#This Row],[Days Since Last Purchase]]&gt;=43, "Inactive")</f>
        <v>Inactive</v>
      </c>
      <c r="O305">
        <f>IF(K305="Satisfied",1,IF(K305="Neutral",0.5,IF(K305="Unsatisfied",0,IF(Table1[[#This Row],[Satisfaction Level]]="No Response","0"))))</f>
        <v>0</v>
      </c>
    </row>
    <row r="306" spans="1:15" x14ac:dyDescent="0.45">
      <c r="A306">
        <v>405</v>
      </c>
      <c r="B306" t="s">
        <v>11</v>
      </c>
      <c r="C306">
        <v>37</v>
      </c>
      <c r="D306" t="s">
        <v>24</v>
      </c>
      <c r="E306" t="s">
        <v>20</v>
      </c>
      <c r="F306">
        <v>430.8</v>
      </c>
      <c r="G306">
        <v>7</v>
      </c>
      <c r="H306">
        <v>3.4</v>
      </c>
      <c r="I306" t="b">
        <v>0</v>
      </c>
      <c r="J306">
        <v>29</v>
      </c>
      <c r="K306" t="s">
        <v>18</v>
      </c>
      <c r="L306" t="str" cm="1">
        <f t="array" ref="L306">_xlfn.IFS(Table1[[#This Row],[Discount Applied]]=TRUE,"Yes",Table1[[#This Row],[Discount Applied]]=FALSE,"No")</f>
        <v>No</v>
      </c>
      <c r="M306" t="str" cm="1">
        <f t="array" ref="M306">_xlfn.IFS(Table1[[#This Row],[Age]]&lt;18,"Under 18",Table1[[#This Row],[Age]]&lt;=23,"18-23",Table1[[#This Row],[Age]]&lt;=29,"24-29",Table1[[#This Row],[Age]]&lt;=35,"30-35",Table1[[#This Row],[Age]]&lt;=41,"36-41",Table1[[#This Row],[Age]]&gt;41,"Over 41")</f>
        <v>36-41</v>
      </c>
      <c r="N306" t="str" cm="1">
        <f t="array" ref="N306">_xlfn.IFS(Table1[[#This Row],[Days Since Last Purchase]]&lt;21,"Active",Table1[[#This Row],[Days Since Last Purchase]]&lt;=42,"Moderately Active",Table1[[#This Row],[Days Since Last Purchase]]&gt;=43, "Inactive")</f>
        <v>Moderately Active</v>
      </c>
      <c r="O306">
        <f>IF(K306="Satisfied",1,IF(K306="Neutral",0.5,IF(K306="Unsatisfied",0,IF(Table1[[#This Row],[Satisfaction Level]]="No Response","0"))))</f>
        <v>0.5</v>
      </c>
    </row>
    <row r="307" spans="1:15" x14ac:dyDescent="0.45">
      <c r="A307">
        <v>406</v>
      </c>
      <c r="B307" t="s">
        <v>11</v>
      </c>
      <c r="C307">
        <v>31</v>
      </c>
      <c r="D307" t="s">
        <v>12</v>
      </c>
      <c r="E307" t="s">
        <v>13</v>
      </c>
      <c r="F307">
        <v>1160.5999999999999</v>
      </c>
      <c r="G307">
        <v>15</v>
      </c>
      <c r="H307">
        <v>4.5</v>
      </c>
      <c r="I307" t="b">
        <v>1</v>
      </c>
      <c r="J307">
        <v>33</v>
      </c>
      <c r="K307" t="s">
        <v>14</v>
      </c>
      <c r="L307" t="str" cm="1">
        <f t="array" ref="L307">_xlfn.IFS(Table1[[#This Row],[Discount Applied]]=TRUE,"Yes",Table1[[#This Row],[Discount Applied]]=FALSE,"No")</f>
        <v>Yes</v>
      </c>
      <c r="M307" t="str" cm="1">
        <f t="array" ref="M307">_xlfn.IFS(Table1[[#This Row],[Age]]&lt;18,"Under 18",Table1[[#This Row],[Age]]&lt;=23,"18-23",Table1[[#This Row],[Age]]&lt;=29,"24-29",Table1[[#This Row],[Age]]&lt;=35,"30-35",Table1[[#This Row],[Age]]&lt;=41,"36-41",Table1[[#This Row],[Age]]&gt;41,"Over 41")</f>
        <v>30-35</v>
      </c>
      <c r="N307" t="str" cm="1">
        <f t="array" ref="N307">_xlfn.IFS(Table1[[#This Row],[Days Since Last Purchase]]&lt;21,"Active",Table1[[#This Row],[Days Since Last Purchase]]&lt;=42,"Moderately Active",Table1[[#This Row],[Days Since Last Purchase]]&gt;=43, "Inactive")</f>
        <v>Moderately Active</v>
      </c>
      <c r="O307">
        <f>IF(K307="Satisfied",1,IF(K307="Neutral",0.5,IF(K307="Unsatisfied",0,IF(Table1[[#This Row],[Satisfaction Level]]="No Response","0"))))</f>
        <v>1</v>
      </c>
    </row>
    <row r="308" spans="1:15" x14ac:dyDescent="0.45">
      <c r="A308">
        <v>407</v>
      </c>
      <c r="B308" t="s">
        <v>15</v>
      </c>
      <c r="C308">
        <v>35</v>
      </c>
      <c r="D308" t="s">
        <v>16</v>
      </c>
      <c r="E308" t="s">
        <v>17</v>
      </c>
      <c r="F308">
        <v>820.9</v>
      </c>
      <c r="G308">
        <v>12</v>
      </c>
      <c r="H308">
        <v>4.3</v>
      </c>
      <c r="I308" t="b">
        <v>0</v>
      </c>
      <c r="J308">
        <v>16</v>
      </c>
      <c r="K308" t="s">
        <v>18</v>
      </c>
      <c r="L308" t="str" cm="1">
        <f t="array" ref="L308">_xlfn.IFS(Table1[[#This Row],[Discount Applied]]=TRUE,"Yes",Table1[[#This Row],[Discount Applied]]=FALSE,"No")</f>
        <v>No</v>
      </c>
      <c r="M308" t="str" cm="1">
        <f t="array" ref="M308">_xlfn.IFS(Table1[[#This Row],[Age]]&lt;18,"Under 18",Table1[[#This Row],[Age]]&lt;=23,"18-23",Table1[[#This Row],[Age]]&lt;=29,"24-29",Table1[[#This Row],[Age]]&lt;=35,"30-35",Table1[[#This Row],[Age]]&lt;=41,"36-41",Table1[[#This Row],[Age]]&gt;41,"Over 41")</f>
        <v>30-35</v>
      </c>
      <c r="N308" t="str" cm="1">
        <f t="array" ref="N308">_xlfn.IFS(Table1[[#This Row],[Days Since Last Purchase]]&lt;21,"Active",Table1[[#This Row],[Days Since Last Purchase]]&lt;=42,"Moderately Active",Table1[[#This Row],[Days Since Last Purchase]]&gt;=43, "Inactive")</f>
        <v>Active</v>
      </c>
      <c r="O308">
        <f>IF(K308="Satisfied",1,IF(K308="Neutral",0.5,IF(K308="Unsatisfied",0,IF(Table1[[#This Row],[Satisfaction Level]]="No Response","0"))))</f>
        <v>0.5</v>
      </c>
    </row>
    <row r="309" spans="1:15" x14ac:dyDescent="0.45">
      <c r="A309">
        <v>408</v>
      </c>
      <c r="B309" t="s">
        <v>11</v>
      </c>
      <c r="C309">
        <v>41</v>
      </c>
      <c r="D309" t="s">
        <v>19</v>
      </c>
      <c r="E309" t="s">
        <v>20</v>
      </c>
      <c r="F309">
        <v>495.25</v>
      </c>
      <c r="G309">
        <v>9</v>
      </c>
      <c r="H309">
        <v>3.6</v>
      </c>
      <c r="I309" t="b">
        <v>1</v>
      </c>
      <c r="J309">
        <v>45</v>
      </c>
      <c r="K309" t="s">
        <v>21</v>
      </c>
      <c r="L309" t="str" cm="1">
        <f t="array" ref="L309">_xlfn.IFS(Table1[[#This Row],[Discount Applied]]=TRUE,"Yes",Table1[[#This Row],[Discount Applied]]=FALSE,"No")</f>
        <v>Yes</v>
      </c>
      <c r="M309" t="str" cm="1">
        <f t="array" ref="M309">_xlfn.IFS(Table1[[#This Row],[Age]]&lt;18,"Under 18",Table1[[#This Row],[Age]]&lt;=23,"18-23",Table1[[#This Row],[Age]]&lt;=29,"24-29",Table1[[#This Row],[Age]]&lt;=35,"30-35",Table1[[#This Row],[Age]]&lt;=41,"36-41",Table1[[#This Row],[Age]]&gt;41,"Over 41")</f>
        <v>36-41</v>
      </c>
      <c r="N309" t="str" cm="1">
        <f t="array" ref="N309">_xlfn.IFS(Table1[[#This Row],[Days Since Last Purchase]]&lt;21,"Active",Table1[[#This Row],[Days Since Last Purchase]]&lt;=42,"Moderately Active",Table1[[#This Row],[Days Since Last Purchase]]&gt;=43, "Inactive")</f>
        <v>Inactive</v>
      </c>
      <c r="O309">
        <f>IF(K309="Satisfied",1,IF(K309="Neutral",0.5,IF(K309="Unsatisfied",0,IF(Table1[[#This Row],[Satisfaction Level]]="No Response","0"))))</f>
        <v>0</v>
      </c>
    </row>
    <row r="310" spans="1:15" x14ac:dyDescent="0.45">
      <c r="A310">
        <v>409</v>
      </c>
      <c r="B310" t="s">
        <v>15</v>
      </c>
      <c r="C310">
        <v>28</v>
      </c>
      <c r="D310" t="s">
        <v>22</v>
      </c>
      <c r="E310" t="s">
        <v>13</v>
      </c>
      <c r="F310">
        <v>1490.1</v>
      </c>
      <c r="G310">
        <v>21</v>
      </c>
      <c r="H310">
        <v>4.9000000000000004</v>
      </c>
      <c r="I310" t="b">
        <v>0</v>
      </c>
      <c r="J310">
        <v>11</v>
      </c>
      <c r="K310" t="s">
        <v>14</v>
      </c>
      <c r="L310" t="str" cm="1">
        <f t="array" ref="L310">_xlfn.IFS(Table1[[#This Row],[Discount Applied]]=TRUE,"Yes",Table1[[#This Row],[Discount Applied]]=FALSE,"No")</f>
        <v>No</v>
      </c>
      <c r="M310" t="str" cm="1">
        <f t="array" ref="M310">_xlfn.IFS(Table1[[#This Row],[Age]]&lt;18,"Under 18",Table1[[#This Row],[Age]]&lt;=23,"18-23",Table1[[#This Row],[Age]]&lt;=29,"24-29",Table1[[#This Row],[Age]]&lt;=35,"30-35",Table1[[#This Row],[Age]]&lt;=41,"36-41",Table1[[#This Row],[Age]]&gt;41,"Over 41")</f>
        <v>24-29</v>
      </c>
      <c r="N310" t="str" cm="1">
        <f t="array" ref="N310">_xlfn.IFS(Table1[[#This Row],[Days Since Last Purchase]]&lt;21,"Active",Table1[[#This Row],[Days Since Last Purchase]]&lt;=42,"Moderately Active",Table1[[#This Row],[Days Since Last Purchase]]&gt;=43, "Inactive")</f>
        <v>Active</v>
      </c>
      <c r="O310">
        <f>IF(K310="Satisfied",1,IF(K310="Neutral",0.5,IF(K310="Unsatisfied",0,IF(Table1[[#This Row],[Satisfaction Level]]="No Response","0"))))</f>
        <v>1</v>
      </c>
    </row>
    <row r="311" spans="1:15" x14ac:dyDescent="0.45">
      <c r="A311">
        <v>410</v>
      </c>
      <c r="B311" t="s">
        <v>15</v>
      </c>
      <c r="C311">
        <v>32</v>
      </c>
      <c r="D311" t="s">
        <v>23</v>
      </c>
      <c r="E311" t="s">
        <v>17</v>
      </c>
      <c r="F311">
        <v>660.3</v>
      </c>
      <c r="G311">
        <v>10</v>
      </c>
      <c r="H311">
        <v>3.8</v>
      </c>
      <c r="I311" t="b">
        <v>1</v>
      </c>
      <c r="J311">
        <v>39</v>
      </c>
      <c r="K311" t="s">
        <v>21</v>
      </c>
      <c r="L311" t="str" cm="1">
        <f t="array" ref="L311">_xlfn.IFS(Table1[[#This Row],[Discount Applied]]=TRUE,"Yes",Table1[[#This Row],[Discount Applied]]=FALSE,"No")</f>
        <v>Yes</v>
      </c>
      <c r="M311" t="str" cm="1">
        <f t="array" ref="M311">_xlfn.IFS(Table1[[#This Row],[Age]]&lt;18,"Under 18",Table1[[#This Row],[Age]]&lt;=23,"18-23",Table1[[#This Row],[Age]]&lt;=29,"24-29",Table1[[#This Row],[Age]]&lt;=35,"30-35",Table1[[#This Row],[Age]]&lt;=41,"36-41",Table1[[#This Row],[Age]]&gt;41,"Over 41")</f>
        <v>30-35</v>
      </c>
      <c r="N311" t="str" cm="1">
        <f t="array" ref="N311">_xlfn.IFS(Table1[[#This Row],[Days Since Last Purchase]]&lt;21,"Active",Table1[[#This Row],[Days Since Last Purchase]]&lt;=42,"Moderately Active",Table1[[#This Row],[Days Since Last Purchase]]&gt;=43, "Inactive")</f>
        <v>Moderately Active</v>
      </c>
      <c r="O311">
        <f>IF(K311="Satisfied",1,IF(K311="Neutral",0.5,IF(K311="Unsatisfied",0,IF(Table1[[#This Row],[Satisfaction Level]]="No Response","0"))))</f>
        <v>0</v>
      </c>
    </row>
    <row r="312" spans="1:15" x14ac:dyDescent="0.45">
      <c r="A312">
        <v>411</v>
      </c>
      <c r="B312" t="s">
        <v>11</v>
      </c>
      <c r="C312">
        <v>36</v>
      </c>
      <c r="D312" t="s">
        <v>24</v>
      </c>
      <c r="E312" t="s">
        <v>20</v>
      </c>
      <c r="F312">
        <v>440.5</v>
      </c>
      <c r="G312">
        <v>8</v>
      </c>
      <c r="H312">
        <v>3.1</v>
      </c>
      <c r="I312" t="b">
        <v>0</v>
      </c>
      <c r="J312">
        <v>24</v>
      </c>
      <c r="K312" t="s">
        <v>18</v>
      </c>
      <c r="L312" t="str" cm="1">
        <f t="array" ref="L312">_xlfn.IFS(Table1[[#This Row],[Discount Applied]]=TRUE,"Yes",Table1[[#This Row],[Discount Applied]]=FALSE,"No")</f>
        <v>No</v>
      </c>
      <c r="M312" t="str" cm="1">
        <f t="array" ref="M312">_xlfn.IFS(Table1[[#This Row],[Age]]&lt;18,"Under 18",Table1[[#This Row],[Age]]&lt;=23,"18-23",Table1[[#This Row],[Age]]&lt;=29,"24-29",Table1[[#This Row],[Age]]&lt;=35,"30-35",Table1[[#This Row],[Age]]&lt;=41,"36-41",Table1[[#This Row],[Age]]&gt;41,"Over 41")</f>
        <v>36-41</v>
      </c>
      <c r="N312" t="str" cm="1">
        <f t="array" ref="N312">_xlfn.IFS(Table1[[#This Row],[Days Since Last Purchase]]&lt;21,"Active",Table1[[#This Row],[Days Since Last Purchase]]&lt;=42,"Moderately Active",Table1[[#This Row],[Days Since Last Purchase]]&gt;=43, "Inactive")</f>
        <v>Moderately Active</v>
      </c>
      <c r="O312">
        <f>IF(K312="Satisfied",1,IF(K312="Neutral",0.5,IF(K312="Unsatisfied",0,IF(Table1[[#This Row],[Satisfaction Level]]="No Response","0"))))</f>
        <v>0.5</v>
      </c>
    </row>
    <row r="313" spans="1:15" x14ac:dyDescent="0.45">
      <c r="A313">
        <v>412</v>
      </c>
      <c r="B313" t="s">
        <v>11</v>
      </c>
      <c r="C313">
        <v>30</v>
      </c>
      <c r="D313" t="s">
        <v>12</v>
      </c>
      <c r="E313" t="s">
        <v>13</v>
      </c>
      <c r="F313">
        <v>1200.8</v>
      </c>
      <c r="G313">
        <v>16</v>
      </c>
      <c r="H313">
        <v>4.7</v>
      </c>
      <c r="I313" t="b">
        <v>1</v>
      </c>
      <c r="J313">
        <v>25</v>
      </c>
      <c r="K313" t="s">
        <v>14</v>
      </c>
      <c r="L313" t="str" cm="1">
        <f t="array" ref="L313">_xlfn.IFS(Table1[[#This Row],[Discount Applied]]=TRUE,"Yes",Table1[[#This Row],[Discount Applied]]=FALSE,"No")</f>
        <v>Yes</v>
      </c>
      <c r="M313" t="str" cm="1">
        <f t="array" ref="M313">_xlfn.IFS(Table1[[#This Row],[Age]]&lt;18,"Under 18",Table1[[#This Row],[Age]]&lt;=23,"18-23",Table1[[#This Row],[Age]]&lt;=29,"24-29",Table1[[#This Row],[Age]]&lt;=35,"30-35",Table1[[#This Row],[Age]]&lt;=41,"36-41",Table1[[#This Row],[Age]]&gt;41,"Over 41")</f>
        <v>30-35</v>
      </c>
      <c r="N313" t="str" cm="1">
        <f t="array" ref="N313">_xlfn.IFS(Table1[[#This Row],[Days Since Last Purchase]]&lt;21,"Active",Table1[[#This Row],[Days Since Last Purchase]]&lt;=42,"Moderately Active",Table1[[#This Row],[Days Since Last Purchase]]&gt;=43, "Inactive")</f>
        <v>Moderately Active</v>
      </c>
      <c r="O313">
        <f>IF(K313="Satisfied",1,IF(K313="Neutral",0.5,IF(K313="Unsatisfied",0,IF(Table1[[#This Row],[Satisfaction Level]]="No Response","0"))))</f>
        <v>1</v>
      </c>
    </row>
    <row r="314" spans="1:15" x14ac:dyDescent="0.45">
      <c r="A314">
        <v>413</v>
      </c>
      <c r="B314" t="s">
        <v>15</v>
      </c>
      <c r="C314">
        <v>34</v>
      </c>
      <c r="D314" t="s">
        <v>16</v>
      </c>
      <c r="E314" t="s">
        <v>17</v>
      </c>
      <c r="F314">
        <v>780.2</v>
      </c>
      <c r="G314">
        <v>11</v>
      </c>
      <c r="H314">
        <v>4.0999999999999996</v>
      </c>
      <c r="I314" t="b">
        <v>0</v>
      </c>
      <c r="J314">
        <v>17</v>
      </c>
      <c r="K314" t="s">
        <v>18</v>
      </c>
      <c r="L314" t="str" cm="1">
        <f t="array" ref="L314">_xlfn.IFS(Table1[[#This Row],[Discount Applied]]=TRUE,"Yes",Table1[[#This Row],[Discount Applied]]=FALSE,"No")</f>
        <v>No</v>
      </c>
      <c r="M314" t="str" cm="1">
        <f t="array" ref="M314">_xlfn.IFS(Table1[[#This Row],[Age]]&lt;18,"Under 18",Table1[[#This Row],[Age]]&lt;=23,"18-23",Table1[[#This Row],[Age]]&lt;=29,"24-29",Table1[[#This Row],[Age]]&lt;=35,"30-35",Table1[[#This Row],[Age]]&lt;=41,"36-41",Table1[[#This Row],[Age]]&gt;41,"Over 41")</f>
        <v>30-35</v>
      </c>
      <c r="N314" t="str" cm="1">
        <f t="array" ref="N314">_xlfn.IFS(Table1[[#This Row],[Days Since Last Purchase]]&lt;21,"Active",Table1[[#This Row],[Days Since Last Purchase]]&lt;=42,"Moderately Active",Table1[[#This Row],[Days Since Last Purchase]]&gt;=43, "Inactive")</f>
        <v>Active</v>
      </c>
      <c r="O314">
        <f>IF(K314="Satisfied",1,IF(K314="Neutral",0.5,IF(K314="Unsatisfied",0,IF(Table1[[#This Row],[Satisfaction Level]]="No Response","0"))))</f>
        <v>0.5</v>
      </c>
    </row>
    <row r="315" spans="1:15" x14ac:dyDescent="0.45">
      <c r="A315">
        <v>414</v>
      </c>
      <c r="B315" t="s">
        <v>11</v>
      </c>
      <c r="C315">
        <v>43</v>
      </c>
      <c r="D315" t="s">
        <v>19</v>
      </c>
      <c r="E315" t="s">
        <v>20</v>
      </c>
      <c r="F315">
        <v>505.75</v>
      </c>
      <c r="G315">
        <v>10</v>
      </c>
      <c r="H315">
        <v>3.3</v>
      </c>
      <c r="I315" t="b">
        <v>1</v>
      </c>
      <c r="J315">
        <v>46</v>
      </c>
      <c r="K315" t="s">
        <v>21</v>
      </c>
      <c r="L315" t="str" cm="1">
        <f t="array" ref="L315">_xlfn.IFS(Table1[[#This Row],[Discount Applied]]=TRUE,"Yes",Table1[[#This Row],[Discount Applied]]=FALSE,"No")</f>
        <v>Yes</v>
      </c>
      <c r="M315" t="str" cm="1">
        <f t="array" ref="M315">_xlfn.IFS(Table1[[#This Row],[Age]]&lt;18,"Under 18",Table1[[#This Row],[Age]]&lt;=23,"18-23",Table1[[#This Row],[Age]]&lt;=29,"24-29",Table1[[#This Row],[Age]]&lt;=35,"30-35",Table1[[#This Row],[Age]]&lt;=41,"36-41",Table1[[#This Row],[Age]]&gt;41,"Over 41")</f>
        <v>Over 41</v>
      </c>
      <c r="N315" t="str" cm="1">
        <f t="array" ref="N315">_xlfn.IFS(Table1[[#This Row],[Days Since Last Purchase]]&lt;21,"Active",Table1[[#This Row],[Days Since Last Purchase]]&lt;=42,"Moderately Active",Table1[[#This Row],[Days Since Last Purchase]]&gt;=43, "Inactive")</f>
        <v>Inactive</v>
      </c>
      <c r="O315">
        <f>IF(K315="Satisfied",1,IF(K315="Neutral",0.5,IF(K315="Unsatisfied",0,IF(Table1[[#This Row],[Satisfaction Level]]="No Response","0"))))</f>
        <v>0</v>
      </c>
    </row>
    <row r="316" spans="1:15" x14ac:dyDescent="0.45">
      <c r="A316">
        <v>415</v>
      </c>
      <c r="B316" t="s">
        <v>15</v>
      </c>
      <c r="C316">
        <v>30</v>
      </c>
      <c r="D316" t="s">
        <v>22</v>
      </c>
      <c r="E316" t="s">
        <v>13</v>
      </c>
      <c r="F316">
        <v>1460.5</v>
      </c>
      <c r="G316">
        <v>20</v>
      </c>
      <c r="H316">
        <v>4.8</v>
      </c>
      <c r="I316" t="b">
        <v>0</v>
      </c>
      <c r="J316">
        <v>14</v>
      </c>
      <c r="K316" t="s">
        <v>14</v>
      </c>
      <c r="L316" t="str" cm="1">
        <f t="array" ref="L316">_xlfn.IFS(Table1[[#This Row],[Discount Applied]]=TRUE,"Yes",Table1[[#This Row],[Discount Applied]]=FALSE,"No")</f>
        <v>No</v>
      </c>
      <c r="M316" t="str" cm="1">
        <f t="array" ref="M316">_xlfn.IFS(Table1[[#This Row],[Age]]&lt;18,"Under 18",Table1[[#This Row],[Age]]&lt;=23,"18-23",Table1[[#This Row],[Age]]&lt;=29,"24-29",Table1[[#This Row],[Age]]&lt;=35,"30-35",Table1[[#This Row],[Age]]&lt;=41,"36-41",Table1[[#This Row],[Age]]&gt;41,"Over 41")</f>
        <v>30-35</v>
      </c>
      <c r="N316" t="str" cm="1">
        <f t="array" ref="N316">_xlfn.IFS(Table1[[#This Row],[Days Since Last Purchase]]&lt;21,"Active",Table1[[#This Row],[Days Since Last Purchase]]&lt;=42,"Moderately Active",Table1[[#This Row],[Days Since Last Purchase]]&gt;=43, "Inactive")</f>
        <v>Active</v>
      </c>
      <c r="O316">
        <f>IF(K316="Satisfied",1,IF(K316="Neutral",0.5,IF(K316="Unsatisfied",0,IF(Table1[[#This Row],[Satisfaction Level]]="No Response","0"))))</f>
        <v>1</v>
      </c>
    </row>
    <row r="317" spans="1:15" x14ac:dyDescent="0.45">
      <c r="A317">
        <v>416</v>
      </c>
      <c r="B317" t="s">
        <v>15</v>
      </c>
      <c r="C317">
        <v>27</v>
      </c>
      <c r="D317" t="s">
        <v>23</v>
      </c>
      <c r="E317" t="s">
        <v>17</v>
      </c>
      <c r="F317">
        <v>710.4</v>
      </c>
      <c r="G317">
        <v>13</v>
      </c>
      <c r="H317">
        <v>4.0999999999999996</v>
      </c>
      <c r="I317" t="b">
        <v>1</v>
      </c>
      <c r="J317">
        <v>61</v>
      </c>
      <c r="K317" t="s">
        <v>21</v>
      </c>
      <c r="L317" t="str" cm="1">
        <f t="array" ref="L317">_xlfn.IFS(Table1[[#This Row],[Discount Applied]]=TRUE,"Yes",Table1[[#This Row],[Discount Applied]]=FALSE,"No")</f>
        <v>Yes</v>
      </c>
      <c r="M317" t="str" cm="1">
        <f t="array" ref="M317">_xlfn.IFS(Table1[[#This Row],[Age]]&lt;18,"Under 18",Table1[[#This Row],[Age]]&lt;=23,"18-23",Table1[[#This Row],[Age]]&lt;=29,"24-29",Table1[[#This Row],[Age]]&lt;=35,"30-35",Table1[[#This Row],[Age]]&lt;=41,"36-41",Table1[[#This Row],[Age]]&gt;41,"Over 41")</f>
        <v>24-29</v>
      </c>
      <c r="N317" t="str" cm="1">
        <f t="array" ref="N317">_xlfn.IFS(Table1[[#This Row],[Days Since Last Purchase]]&lt;21,"Active",Table1[[#This Row],[Days Since Last Purchase]]&lt;=42,"Moderately Active",Table1[[#This Row],[Days Since Last Purchase]]&gt;=43, "Inactive")</f>
        <v>Inactive</v>
      </c>
      <c r="O317">
        <f>IF(K317="Satisfied",1,IF(K317="Neutral",0.5,IF(K317="Unsatisfied",0,IF(Table1[[#This Row],[Satisfaction Level]]="No Response","0"))))</f>
        <v>0</v>
      </c>
    </row>
    <row r="318" spans="1:15" x14ac:dyDescent="0.45">
      <c r="A318">
        <v>417</v>
      </c>
      <c r="B318" t="s">
        <v>11</v>
      </c>
      <c r="C318">
        <v>37</v>
      </c>
      <c r="D318" t="s">
        <v>24</v>
      </c>
      <c r="E318" t="s">
        <v>20</v>
      </c>
      <c r="F318">
        <v>450.8</v>
      </c>
      <c r="G318">
        <v>7</v>
      </c>
      <c r="H318">
        <v>3.4</v>
      </c>
      <c r="I318" t="b">
        <v>0</v>
      </c>
      <c r="J318">
        <v>30</v>
      </c>
      <c r="K318" t="s">
        <v>18</v>
      </c>
      <c r="L318" t="str" cm="1">
        <f t="array" ref="L318">_xlfn.IFS(Table1[[#This Row],[Discount Applied]]=TRUE,"Yes",Table1[[#This Row],[Discount Applied]]=FALSE,"No")</f>
        <v>No</v>
      </c>
      <c r="M318" t="str" cm="1">
        <f t="array" ref="M318">_xlfn.IFS(Table1[[#This Row],[Age]]&lt;18,"Under 18",Table1[[#This Row],[Age]]&lt;=23,"18-23",Table1[[#This Row],[Age]]&lt;=29,"24-29",Table1[[#This Row],[Age]]&lt;=35,"30-35",Table1[[#This Row],[Age]]&lt;=41,"36-41",Table1[[#This Row],[Age]]&gt;41,"Over 41")</f>
        <v>36-41</v>
      </c>
      <c r="N318" t="str" cm="1">
        <f t="array" ref="N318">_xlfn.IFS(Table1[[#This Row],[Days Since Last Purchase]]&lt;21,"Active",Table1[[#This Row],[Days Since Last Purchase]]&lt;=42,"Moderately Active",Table1[[#This Row],[Days Since Last Purchase]]&gt;=43, "Inactive")</f>
        <v>Moderately Active</v>
      </c>
      <c r="O318">
        <f>IF(K318="Satisfied",1,IF(K318="Neutral",0.5,IF(K318="Unsatisfied",0,IF(Table1[[#This Row],[Satisfaction Level]]="No Response","0"))))</f>
        <v>0.5</v>
      </c>
    </row>
    <row r="319" spans="1:15" x14ac:dyDescent="0.45">
      <c r="A319">
        <v>418</v>
      </c>
      <c r="B319" t="s">
        <v>11</v>
      </c>
      <c r="C319">
        <v>31</v>
      </c>
      <c r="D319" t="s">
        <v>12</v>
      </c>
      <c r="E319" t="s">
        <v>13</v>
      </c>
      <c r="F319">
        <v>1140.5999999999999</v>
      </c>
      <c r="G319">
        <v>15</v>
      </c>
      <c r="H319">
        <v>4.5</v>
      </c>
      <c r="I319" t="b">
        <v>1</v>
      </c>
      <c r="J319">
        <v>34</v>
      </c>
      <c r="K319" t="s">
        <v>14</v>
      </c>
      <c r="L319" t="str" cm="1">
        <f t="array" ref="L319">_xlfn.IFS(Table1[[#This Row],[Discount Applied]]=TRUE,"Yes",Table1[[#This Row],[Discount Applied]]=FALSE,"No")</f>
        <v>Yes</v>
      </c>
      <c r="M319" t="str" cm="1">
        <f t="array" ref="M319">_xlfn.IFS(Table1[[#This Row],[Age]]&lt;18,"Under 18",Table1[[#This Row],[Age]]&lt;=23,"18-23",Table1[[#This Row],[Age]]&lt;=29,"24-29",Table1[[#This Row],[Age]]&lt;=35,"30-35",Table1[[#This Row],[Age]]&lt;=41,"36-41",Table1[[#This Row],[Age]]&gt;41,"Over 41")</f>
        <v>30-35</v>
      </c>
      <c r="N319" t="str" cm="1">
        <f t="array" ref="N319">_xlfn.IFS(Table1[[#This Row],[Days Since Last Purchase]]&lt;21,"Active",Table1[[#This Row],[Days Since Last Purchase]]&lt;=42,"Moderately Active",Table1[[#This Row],[Days Since Last Purchase]]&gt;=43, "Inactive")</f>
        <v>Moderately Active</v>
      </c>
      <c r="O319">
        <f>IF(K319="Satisfied",1,IF(K319="Neutral",0.5,IF(K319="Unsatisfied",0,IF(Table1[[#This Row],[Satisfaction Level]]="No Response","0"))))</f>
        <v>1</v>
      </c>
    </row>
    <row r="320" spans="1:15" x14ac:dyDescent="0.45">
      <c r="A320">
        <v>419</v>
      </c>
      <c r="B320" t="s">
        <v>15</v>
      </c>
      <c r="C320">
        <v>35</v>
      </c>
      <c r="D320" t="s">
        <v>16</v>
      </c>
      <c r="E320" t="s">
        <v>17</v>
      </c>
      <c r="F320">
        <v>800.9</v>
      </c>
      <c r="G320">
        <v>12</v>
      </c>
      <c r="H320">
        <v>4.0999999999999996</v>
      </c>
      <c r="I320" t="b">
        <v>0</v>
      </c>
      <c r="J320">
        <v>19</v>
      </c>
      <c r="K320" t="s">
        <v>18</v>
      </c>
      <c r="L320" t="str" cm="1">
        <f t="array" ref="L320">_xlfn.IFS(Table1[[#This Row],[Discount Applied]]=TRUE,"Yes",Table1[[#This Row],[Discount Applied]]=FALSE,"No")</f>
        <v>No</v>
      </c>
      <c r="M320" t="str" cm="1">
        <f t="array" ref="M320">_xlfn.IFS(Table1[[#This Row],[Age]]&lt;18,"Under 18",Table1[[#This Row],[Age]]&lt;=23,"18-23",Table1[[#This Row],[Age]]&lt;=29,"24-29",Table1[[#This Row],[Age]]&lt;=35,"30-35",Table1[[#This Row],[Age]]&lt;=41,"36-41",Table1[[#This Row],[Age]]&gt;41,"Over 41")</f>
        <v>30-35</v>
      </c>
      <c r="N320" t="str" cm="1">
        <f t="array" ref="N320">_xlfn.IFS(Table1[[#This Row],[Days Since Last Purchase]]&lt;21,"Active",Table1[[#This Row],[Days Since Last Purchase]]&lt;=42,"Moderately Active",Table1[[#This Row],[Days Since Last Purchase]]&gt;=43, "Inactive")</f>
        <v>Active</v>
      </c>
      <c r="O320">
        <f>IF(K320="Satisfied",1,IF(K320="Neutral",0.5,IF(K320="Unsatisfied",0,IF(Table1[[#This Row],[Satisfaction Level]]="No Response","0"))))</f>
        <v>0.5</v>
      </c>
    </row>
    <row r="321" spans="1:15" x14ac:dyDescent="0.45">
      <c r="A321">
        <v>420</v>
      </c>
      <c r="B321" t="s">
        <v>11</v>
      </c>
      <c r="C321">
        <v>41</v>
      </c>
      <c r="D321" t="s">
        <v>19</v>
      </c>
      <c r="E321" t="s">
        <v>20</v>
      </c>
      <c r="F321">
        <v>475.25</v>
      </c>
      <c r="G321">
        <v>9</v>
      </c>
      <c r="H321">
        <v>3.6</v>
      </c>
      <c r="I321" t="b">
        <v>1</v>
      </c>
      <c r="J321">
        <v>46</v>
      </c>
      <c r="K321" t="s">
        <v>21</v>
      </c>
      <c r="L321" t="str" cm="1">
        <f t="array" ref="L321">_xlfn.IFS(Table1[[#This Row],[Discount Applied]]=TRUE,"Yes",Table1[[#This Row],[Discount Applied]]=FALSE,"No")</f>
        <v>Yes</v>
      </c>
      <c r="M321" t="str" cm="1">
        <f t="array" ref="M321">_xlfn.IFS(Table1[[#This Row],[Age]]&lt;18,"Under 18",Table1[[#This Row],[Age]]&lt;=23,"18-23",Table1[[#This Row],[Age]]&lt;=29,"24-29",Table1[[#This Row],[Age]]&lt;=35,"30-35",Table1[[#This Row],[Age]]&lt;=41,"36-41",Table1[[#This Row],[Age]]&gt;41,"Over 41")</f>
        <v>36-41</v>
      </c>
      <c r="N321" t="str" cm="1">
        <f t="array" ref="N321">_xlfn.IFS(Table1[[#This Row],[Days Since Last Purchase]]&lt;21,"Active",Table1[[#This Row],[Days Since Last Purchase]]&lt;=42,"Moderately Active",Table1[[#This Row],[Days Since Last Purchase]]&gt;=43, "Inactive")</f>
        <v>Inactive</v>
      </c>
      <c r="O321">
        <f>IF(K321="Satisfied",1,IF(K321="Neutral",0.5,IF(K321="Unsatisfied",0,IF(Table1[[#This Row],[Satisfaction Level]]="No Response","0"))))</f>
        <v>0</v>
      </c>
    </row>
    <row r="322" spans="1:15" x14ac:dyDescent="0.45">
      <c r="A322">
        <v>421</v>
      </c>
      <c r="B322" t="s">
        <v>15</v>
      </c>
      <c r="C322">
        <v>28</v>
      </c>
      <c r="D322" t="s">
        <v>22</v>
      </c>
      <c r="E322" t="s">
        <v>13</v>
      </c>
      <c r="F322">
        <v>1480.1</v>
      </c>
      <c r="G322">
        <v>21</v>
      </c>
      <c r="H322">
        <v>4.9000000000000004</v>
      </c>
      <c r="I322" t="b">
        <v>0</v>
      </c>
      <c r="J322">
        <v>12</v>
      </c>
      <c r="K322" t="s">
        <v>14</v>
      </c>
      <c r="L322" t="str" cm="1">
        <f t="array" ref="L322">_xlfn.IFS(Table1[[#This Row],[Discount Applied]]=TRUE,"Yes",Table1[[#This Row],[Discount Applied]]=FALSE,"No")</f>
        <v>No</v>
      </c>
      <c r="M322" t="str" cm="1">
        <f t="array" ref="M322">_xlfn.IFS(Table1[[#This Row],[Age]]&lt;18,"Under 18",Table1[[#This Row],[Age]]&lt;=23,"18-23",Table1[[#This Row],[Age]]&lt;=29,"24-29",Table1[[#This Row],[Age]]&lt;=35,"30-35",Table1[[#This Row],[Age]]&lt;=41,"36-41",Table1[[#This Row],[Age]]&gt;41,"Over 41")</f>
        <v>24-29</v>
      </c>
      <c r="N322" t="str" cm="1">
        <f t="array" ref="N322">_xlfn.IFS(Table1[[#This Row],[Days Since Last Purchase]]&lt;21,"Active",Table1[[#This Row],[Days Since Last Purchase]]&lt;=42,"Moderately Active",Table1[[#This Row],[Days Since Last Purchase]]&gt;=43, "Inactive")</f>
        <v>Active</v>
      </c>
      <c r="O322">
        <f>IF(K322="Satisfied",1,IF(K322="Neutral",0.5,IF(K322="Unsatisfied",0,IF(Table1[[#This Row],[Satisfaction Level]]="No Response","0"))))</f>
        <v>1</v>
      </c>
    </row>
    <row r="323" spans="1:15" x14ac:dyDescent="0.45">
      <c r="A323">
        <v>422</v>
      </c>
      <c r="B323" t="s">
        <v>15</v>
      </c>
      <c r="C323">
        <v>32</v>
      </c>
      <c r="D323" t="s">
        <v>23</v>
      </c>
      <c r="E323" t="s">
        <v>17</v>
      </c>
      <c r="F323">
        <v>660.3</v>
      </c>
      <c r="G323">
        <v>10</v>
      </c>
      <c r="H323">
        <v>3.8</v>
      </c>
      <c r="I323" t="b">
        <v>1</v>
      </c>
      <c r="J323">
        <v>40</v>
      </c>
      <c r="K323" t="s">
        <v>21</v>
      </c>
      <c r="L323" t="str" cm="1">
        <f t="array" ref="L323">_xlfn.IFS(Table1[[#This Row],[Discount Applied]]=TRUE,"Yes",Table1[[#This Row],[Discount Applied]]=FALSE,"No")</f>
        <v>Yes</v>
      </c>
      <c r="M323" t="str" cm="1">
        <f t="array" ref="M323">_xlfn.IFS(Table1[[#This Row],[Age]]&lt;18,"Under 18",Table1[[#This Row],[Age]]&lt;=23,"18-23",Table1[[#This Row],[Age]]&lt;=29,"24-29",Table1[[#This Row],[Age]]&lt;=35,"30-35",Table1[[#This Row],[Age]]&lt;=41,"36-41",Table1[[#This Row],[Age]]&gt;41,"Over 41")</f>
        <v>30-35</v>
      </c>
      <c r="N323" t="str" cm="1">
        <f t="array" ref="N323">_xlfn.IFS(Table1[[#This Row],[Days Since Last Purchase]]&lt;21,"Active",Table1[[#This Row],[Days Since Last Purchase]]&lt;=42,"Moderately Active",Table1[[#This Row],[Days Since Last Purchase]]&gt;=43, "Inactive")</f>
        <v>Moderately Active</v>
      </c>
      <c r="O323">
        <f>IF(K323="Satisfied",1,IF(K323="Neutral",0.5,IF(K323="Unsatisfied",0,IF(Table1[[#This Row],[Satisfaction Level]]="No Response","0"))))</f>
        <v>0</v>
      </c>
    </row>
    <row r="324" spans="1:15" x14ac:dyDescent="0.45">
      <c r="A324">
        <v>423</v>
      </c>
      <c r="B324" t="s">
        <v>11</v>
      </c>
      <c r="C324">
        <v>36</v>
      </c>
      <c r="D324" t="s">
        <v>24</v>
      </c>
      <c r="E324" t="s">
        <v>20</v>
      </c>
      <c r="F324">
        <v>470.5</v>
      </c>
      <c r="G324">
        <v>8</v>
      </c>
      <c r="H324">
        <v>3</v>
      </c>
      <c r="I324" t="b">
        <v>0</v>
      </c>
      <c r="J324">
        <v>26</v>
      </c>
      <c r="K324" t="s">
        <v>18</v>
      </c>
      <c r="L324" t="str" cm="1">
        <f t="array" ref="L324">_xlfn.IFS(Table1[[#This Row],[Discount Applied]]=TRUE,"Yes",Table1[[#This Row],[Discount Applied]]=FALSE,"No")</f>
        <v>No</v>
      </c>
      <c r="M324" t="str" cm="1">
        <f t="array" ref="M324">_xlfn.IFS(Table1[[#This Row],[Age]]&lt;18,"Under 18",Table1[[#This Row],[Age]]&lt;=23,"18-23",Table1[[#This Row],[Age]]&lt;=29,"24-29",Table1[[#This Row],[Age]]&lt;=35,"30-35",Table1[[#This Row],[Age]]&lt;=41,"36-41",Table1[[#This Row],[Age]]&gt;41,"Over 41")</f>
        <v>36-41</v>
      </c>
      <c r="N324" t="str" cm="1">
        <f t="array" ref="N324">_xlfn.IFS(Table1[[#This Row],[Days Since Last Purchase]]&lt;21,"Active",Table1[[#This Row],[Days Since Last Purchase]]&lt;=42,"Moderately Active",Table1[[#This Row],[Days Since Last Purchase]]&gt;=43, "Inactive")</f>
        <v>Moderately Active</v>
      </c>
      <c r="O324">
        <f>IF(K324="Satisfied",1,IF(K324="Neutral",0.5,IF(K324="Unsatisfied",0,IF(Table1[[#This Row],[Satisfaction Level]]="No Response","0"))))</f>
        <v>0.5</v>
      </c>
    </row>
    <row r="325" spans="1:15" x14ac:dyDescent="0.45">
      <c r="A325">
        <v>424</v>
      </c>
      <c r="B325" t="s">
        <v>11</v>
      </c>
      <c r="C325">
        <v>30</v>
      </c>
      <c r="D325" t="s">
        <v>12</v>
      </c>
      <c r="E325" t="s">
        <v>13</v>
      </c>
      <c r="F325">
        <v>1190.8</v>
      </c>
      <c r="G325">
        <v>16</v>
      </c>
      <c r="H325">
        <v>4.5</v>
      </c>
      <c r="I325" t="b">
        <v>1</v>
      </c>
      <c r="J325">
        <v>27</v>
      </c>
      <c r="K325" t="s">
        <v>14</v>
      </c>
      <c r="L325" t="str" cm="1">
        <f t="array" ref="L325">_xlfn.IFS(Table1[[#This Row],[Discount Applied]]=TRUE,"Yes",Table1[[#This Row],[Discount Applied]]=FALSE,"No")</f>
        <v>Yes</v>
      </c>
      <c r="M325" t="str" cm="1">
        <f t="array" ref="M325">_xlfn.IFS(Table1[[#This Row],[Age]]&lt;18,"Under 18",Table1[[#This Row],[Age]]&lt;=23,"18-23",Table1[[#This Row],[Age]]&lt;=29,"24-29",Table1[[#This Row],[Age]]&lt;=35,"30-35",Table1[[#This Row],[Age]]&lt;=41,"36-41",Table1[[#This Row],[Age]]&gt;41,"Over 41")</f>
        <v>30-35</v>
      </c>
      <c r="N325" t="str" cm="1">
        <f t="array" ref="N325">_xlfn.IFS(Table1[[#This Row],[Days Since Last Purchase]]&lt;21,"Active",Table1[[#This Row],[Days Since Last Purchase]]&lt;=42,"Moderately Active",Table1[[#This Row],[Days Since Last Purchase]]&gt;=43, "Inactive")</f>
        <v>Moderately Active</v>
      </c>
      <c r="O325">
        <f>IF(K325="Satisfied",1,IF(K325="Neutral",0.5,IF(K325="Unsatisfied",0,IF(Table1[[#This Row],[Satisfaction Level]]="No Response","0"))))</f>
        <v>1</v>
      </c>
    </row>
    <row r="326" spans="1:15" x14ac:dyDescent="0.45">
      <c r="A326">
        <v>425</v>
      </c>
      <c r="B326" t="s">
        <v>15</v>
      </c>
      <c r="C326">
        <v>34</v>
      </c>
      <c r="D326" t="s">
        <v>16</v>
      </c>
      <c r="E326" t="s">
        <v>17</v>
      </c>
      <c r="F326">
        <v>780.2</v>
      </c>
      <c r="G326">
        <v>11</v>
      </c>
      <c r="H326">
        <v>4.2</v>
      </c>
      <c r="I326" t="b">
        <v>0</v>
      </c>
      <c r="J326">
        <v>18</v>
      </c>
      <c r="K326" t="s">
        <v>18</v>
      </c>
      <c r="L326" t="str" cm="1">
        <f t="array" ref="L326">_xlfn.IFS(Table1[[#This Row],[Discount Applied]]=TRUE,"Yes",Table1[[#This Row],[Discount Applied]]=FALSE,"No")</f>
        <v>No</v>
      </c>
      <c r="M326" t="str" cm="1">
        <f t="array" ref="M326">_xlfn.IFS(Table1[[#This Row],[Age]]&lt;18,"Under 18",Table1[[#This Row],[Age]]&lt;=23,"18-23",Table1[[#This Row],[Age]]&lt;=29,"24-29",Table1[[#This Row],[Age]]&lt;=35,"30-35",Table1[[#This Row],[Age]]&lt;=41,"36-41",Table1[[#This Row],[Age]]&gt;41,"Over 41")</f>
        <v>30-35</v>
      </c>
      <c r="N326" t="str" cm="1">
        <f t="array" ref="N326">_xlfn.IFS(Table1[[#This Row],[Days Since Last Purchase]]&lt;21,"Active",Table1[[#This Row],[Days Since Last Purchase]]&lt;=42,"Moderately Active",Table1[[#This Row],[Days Since Last Purchase]]&gt;=43, "Inactive")</f>
        <v>Active</v>
      </c>
      <c r="O326">
        <f>IF(K326="Satisfied",1,IF(K326="Neutral",0.5,IF(K326="Unsatisfied",0,IF(Table1[[#This Row],[Satisfaction Level]]="No Response","0"))))</f>
        <v>0.5</v>
      </c>
    </row>
    <row r="327" spans="1:15" x14ac:dyDescent="0.45">
      <c r="A327">
        <v>426</v>
      </c>
      <c r="B327" t="s">
        <v>11</v>
      </c>
      <c r="C327">
        <v>43</v>
      </c>
      <c r="D327" t="s">
        <v>19</v>
      </c>
      <c r="E327" t="s">
        <v>20</v>
      </c>
      <c r="F327">
        <v>515.75</v>
      </c>
      <c r="G327">
        <v>10</v>
      </c>
      <c r="H327">
        <v>3.3</v>
      </c>
      <c r="I327" t="b">
        <v>1</v>
      </c>
      <c r="J327">
        <v>47</v>
      </c>
      <c r="K327" t="s">
        <v>21</v>
      </c>
      <c r="L327" t="str" cm="1">
        <f t="array" ref="L327">_xlfn.IFS(Table1[[#This Row],[Discount Applied]]=TRUE,"Yes",Table1[[#This Row],[Discount Applied]]=FALSE,"No")</f>
        <v>Yes</v>
      </c>
      <c r="M327" t="str" cm="1">
        <f t="array" ref="M327">_xlfn.IFS(Table1[[#This Row],[Age]]&lt;18,"Under 18",Table1[[#This Row],[Age]]&lt;=23,"18-23",Table1[[#This Row],[Age]]&lt;=29,"24-29",Table1[[#This Row],[Age]]&lt;=35,"30-35",Table1[[#This Row],[Age]]&lt;=41,"36-41",Table1[[#This Row],[Age]]&gt;41,"Over 41")</f>
        <v>Over 41</v>
      </c>
      <c r="N327" t="str" cm="1">
        <f t="array" ref="N327">_xlfn.IFS(Table1[[#This Row],[Days Since Last Purchase]]&lt;21,"Active",Table1[[#This Row],[Days Since Last Purchase]]&lt;=42,"Moderately Active",Table1[[#This Row],[Days Since Last Purchase]]&gt;=43, "Inactive")</f>
        <v>Inactive</v>
      </c>
      <c r="O327">
        <f>IF(K327="Satisfied",1,IF(K327="Neutral",0.5,IF(K327="Unsatisfied",0,IF(Table1[[#This Row],[Satisfaction Level]]="No Response","0"))))</f>
        <v>0</v>
      </c>
    </row>
    <row r="328" spans="1:15" x14ac:dyDescent="0.45">
      <c r="A328">
        <v>427</v>
      </c>
      <c r="B328" t="s">
        <v>15</v>
      </c>
      <c r="C328">
        <v>30</v>
      </c>
      <c r="D328" t="s">
        <v>22</v>
      </c>
      <c r="E328" t="s">
        <v>13</v>
      </c>
      <c r="F328">
        <v>1450.5</v>
      </c>
      <c r="G328">
        <v>19</v>
      </c>
      <c r="H328">
        <v>4.5999999999999996</v>
      </c>
      <c r="I328" t="b">
        <v>0</v>
      </c>
      <c r="J328">
        <v>14</v>
      </c>
      <c r="K328" t="s">
        <v>14</v>
      </c>
      <c r="L328" t="str" cm="1">
        <f t="array" ref="L328">_xlfn.IFS(Table1[[#This Row],[Discount Applied]]=TRUE,"Yes",Table1[[#This Row],[Discount Applied]]=FALSE,"No")</f>
        <v>No</v>
      </c>
      <c r="M328" t="str" cm="1">
        <f t="array" ref="M328">_xlfn.IFS(Table1[[#This Row],[Age]]&lt;18,"Under 18",Table1[[#This Row],[Age]]&lt;=23,"18-23",Table1[[#This Row],[Age]]&lt;=29,"24-29",Table1[[#This Row],[Age]]&lt;=35,"30-35",Table1[[#This Row],[Age]]&lt;=41,"36-41",Table1[[#This Row],[Age]]&gt;41,"Over 41")</f>
        <v>30-35</v>
      </c>
      <c r="N328" t="str" cm="1">
        <f t="array" ref="N328">_xlfn.IFS(Table1[[#This Row],[Days Since Last Purchase]]&lt;21,"Active",Table1[[#This Row],[Days Since Last Purchase]]&lt;=42,"Moderately Active",Table1[[#This Row],[Days Since Last Purchase]]&gt;=43, "Inactive")</f>
        <v>Active</v>
      </c>
      <c r="O328">
        <f>IF(K328="Satisfied",1,IF(K328="Neutral",0.5,IF(K328="Unsatisfied",0,IF(Table1[[#This Row],[Satisfaction Level]]="No Response","0"))))</f>
        <v>1</v>
      </c>
    </row>
    <row r="329" spans="1:15" x14ac:dyDescent="0.45">
      <c r="A329">
        <v>428</v>
      </c>
      <c r="B329" t="s">
        <v>15</v>
      </c>
      <c r="C329">
        <v>27</v>
      </c>
      <c r="D329" t="s">
        <v>23</v>
      </c>
      <c r="E329" t="s">
        <v>17</v>
      </c>
      <c r="F329">
        <v>710.4</v>
      </c>
      <c r="G329">
        <v>13</v>
      </c>
      <c r="H329">
        <v>4.0999999999999996</v>
      </c>
      <c r="I329" t="b">
        <v>1</v>
      </c>
      <c r="J329">
        <v>62</v>
      </c>
      <c r="K329" t="s">
        <v>21</v>
      </c>
      <c r="L329" t="str" cm="1">
        <f t="array" ref="L329">_xlfn.IFS(Table1[[#This Row],[Discount Applied]]=TRUE,"Yes",Table1[[#This Row],[Discount Applied]]=FALSE,"No")</f>
        <v>Yes</v>
      </c>
      <c r="M329" t="str" cm="1">
        <f t="array" ref="M329">_xlfn.IFS(Table1[[#This Row],[Age]]&lt;18,"Under 18",Table1[[#This Row],[Age]]&lt;=23,"18-23",Table1[[#This Row],[Age]]&lt;=29,"24-29",Table1[[#This Row],[Age]]&lt;=35,"30-35",Table1[[#This Row],[Age]]&lt;=41,"36-41",Table1[[#This Row],[Age]]&gt;41,"Over 41")</f>
        <v>24-29</v>
      </c>
      <c r="N329" t="str" cm="1">
        <f t="array" ref="N329">_xlfn.IFS(Table1[[#This Row],[Days Since Last Purchase]]&lt;21,"Active",Table1[[#This Row],[Days Since Last Purchase]]&lt;=42,"Moderately Active",Table1[[#This Row],[Days Since Last Purchase]]&gt;=43, "Inactive")</f>
        <v>Inactive</v>
      </c>
      <c r="O329">
        <f>IF(K329="Satisfied",1,IF(K329="Neutral",0.5,IF(K329="Unsatisfied",0,IF(Table1[[#This Row],[Satisfaction Level]]="No Response","0"))))</f>
        <v>0</v>
      </c>
    </row>
    <row r="330" spans="1:15" x14ac:dyDescent="0.45">
      <c r="A330">
        <v>429</v>
      </c>
      <c r="B330" t="s">
        <v>11</v>
      </c>
      <c r="C330">
        <v>37</v>
      </c>
      <c r="D330" t="s">
        <v>24</v>
      </c>
      <c r="E330" t="s">
        <v>20</v>
      </c>
      <c r="F330">
        <v>430.8</v>
      </c>
      <c r="G330">
        <v>7</v>
      </c>
      <c r="H330">
        <v>3.4</v>
      </c>
      <c r="I330" t="b">
        <v>0</v>
      </c>
      <c r="J330">
        <v>31</v>
      </c>
      <c r="K330" t="s">
        <v>18</v>
      </c>
      <c r="L330" t="str" cm="1">
        <f t="array" ref="L330">_xlfn.IFS(Table1[[#This Row],[Discount Applied]]=TRUE,"Yes",Table1[[#This Row],[Discount Applied]]=FALSE,"No")</f>
        <v>No</v>
      </c>
      <c r="M330" t="str" cm="1">
        <f t="array" ref="M330">_xlfn.IFS(Table1[[#This Row],[Age]]&lt;18,"Under 18",Table1[[#This Row],[Age]]&lt;=23,"18-23",Table1[[#This Row],[Age]]&lt;=29,"24-29",Table1[[#This Row],[Age]]&lt;=35,"30-35",Table1[[#This Row],[Age]]&lt;=41,"36-41",Table1[[#This Row],[Age]]&gt;41,"Over 41")</f>
        <v>36-41</v>
      </c>
      <c r="N330" t="str" cm="1">
        <f t="array" ref="N330">_xlfn.IFS(Table1[[#This Row],[Days Since Last Purchase]]&lt;21,"Active",Table1[[#This Row],[Days Since Last Purchase]]&lt;=42,"Moderately Active",Table1[[#This Row],[Days Since Last Purchase]]&gt;=43, "Inactive")</f>
        <v>Moderately Active</v>
      </c>
      <c r="O330">
        <f>IF(K330="Satisfied",1,IF(K330="Neutral",0.5,IF(K330="Unsatisfied",0,IF(Table1[[#This Row],[Satisfaction Level]]="No Response","0"))))</f>
        <v>0.5</v>
      </c>
    </row>
    <row r="331" spans="1:15" x14ac:dyDescent="0.45">
      <c r="A331">
        <v>430</v>
      </c>
      <c r="B331" t="s">
        <v>11</v>
      </c>
      <c r="C331">
        <v>31</v>
      </c>
      <c r="D331" t="s">
        <v>12</v>
      </c>
      <c r="E331" t="s">
        <v>13</v>
      </c>
      <c r="F331">
        <v>1160.5999999999999</v>
      </c>
      <c r="G331">
        <v>15</v>
      </c>
      <c r="H331">
        <v>4.5</v>
      </c>
      <c r="I331" t="b">
        <v>1</v>
      </c>
      <c r="J331">
        <v>35</v>
      </c>
      <c r="K331" t="s">
        <v>14</v>
      </c>
      <c r="L331" t="str" cm="1">
        <f t="array" ref="L331">_xlfn.IFS(Table1[[#This Row],[Discount Applied]]=TRUE,"Yes",Table1[[#This Row],[Discount Applied]]=FALSE,"No")</f>
        <v>Yes</v>
      </c>
      <c r="M331" t="str" cm="1">
        <f t="array" ref="M331">_xlfn.IFS(Table1[[#This Row],[Age]]&lt;18,"Under 18",Table1[[#This Row],[Age]]&lt;=23,"18-23",Table1[[#This Row],[Age]]&lt;=29,"24-29",Table1[[#This Row],[Age]]&lt;=35,"30-35",Table1[[#This Row],[Age]]&lt;=41,"36-41",Table1[[#This Row],[Age]]&gt;41,"Over 41")</f>
        <v>30-35</v>
      </c>
      <c r="N331" t="str" cm="1">
        <f t="array" ref="N331">_xlfn.IFS(Table1[[#This Row],[Days Since Last Purchase]]&lt;21,"Active",Table1[[#This Row],[Days Since Last Purchase]]&lt;=42,"Moderately Active",Table1[[#This Row],[Days Since Last Purchase]]&gt;=43, "Inactive")</f>
        <v>Moderately Active</v>
      </c>
      <c r="O331">
        <f>IF(K331="Satisfied",1,IF(K331="Neutral",0.5,IF(K331="Unsatisfied",0,IF(Table1[[#This Row],[Satisfaction Level]]="No Response","0"))))</f>
        <v>1</v>
      </c>
    </row>
    <row r="332" spans="1:15" x14ac:dyDescent="0.45">
      <c r="A332">
        <v>431</v>
      </c>
      <c r="B332" t="s">
        <v>15</v>
      </c>
      <c r="C332">
        <v>35</v>
      </c>
      <c r="D332" t="s">
        <v>16</v>
      </c>
      <c r="E332" t="s">
        <v>17</v>
      </c>
      <c r="F332">
        <v>820.9</v>
      </c>
      <c r="G332">
        <v>12</v>
      </c>
      <c r="H332">
        <v>4.3</v>
      </c>
      <c r="I332" t="b">
        <v>0</v>
      </c>
      <c r="J332">
        <v>20</v>
      </c>
      <c r="K332" t="s">
        <v>18</v>
      </c>
      <c r="L332" t="str" cm="1">
        <f t="array" ref="L332">_xlfn.IFS(Table1[[#This Row],[Discount Applied]]=TRUE,"Yes",Table1[[#This Row],[Discount Applied]]=FALSE,"No")</f>
        <v>No</v>
      </c>
      <c r="M332" t="str" cm="1">
        <f t="array" ref="M332">_xlfn.IFS(Table1[[#This Row],[Age]]&lt;18,"Under 18",Table1[[#This Row],[Age]]&lt;=23,"18-23",Table1[[#This Row],[Age]]&lt;=29,"24-29",Table1[[#This Row],[Age]]&lt;=35,"30-35",Table1[[#This Row],[Age]]&lt;=41,"36-41",Table1[[#This Row],[Age]]&gt;41,"Over 41")</f>
        <v>30-35</v>
      </c>
      <c r="N332" t="str" cm="1">
        <f t="array" ref="N332">_xlfn.IFS(Table1[[#This Row],[Days Since Last Purchase]]&lt;21,"Active",Table1[[#This Row],[Days Since Last Purchase]]&lt;=42,"Moderately Active",Table1[[#This Row],[Days Since Last Purchase]]&gt;=43, "Inactive")</f>
        <v>Active</v>
      </c>
      <c r="O332">
        <f>IF(K332="Satisfied",1,IF(K332="Neutral",0.5,IF(K332="Unsatisfied",0,IF(Table1[[#This Row],[Satisfaction Level]]="No Response","0"))))</f>
        <v>0.5</v>
      </c>
    </row>
    <row r="333" spans="1:15" x14ac:dyDescent="0.45">
      <c r="A333">
        <v>432</v>
      </c>
      <c r="B333" t="s">
        <v>11</v>
      </c>
      <c r="C333">
        <v>41</v>
      </c>
      <c r="D333" t="s">
        <v>19</v>
      </c>
      <c r="E333" t="s">
        <v>20</v>
      </c>
      <c r="F333">
        <v>495.25</v>
      </c>
      <c r="G333">
        <v>9</v>
      </c>
      <c r="H333">
        <v>3.6</v>
      </c>
      <c r="I333" t="b">
        <v>1</v>
      </c>
      <c r="J333">
        <v>47</v>
      </c>
      <c r="K333" t="s">
        <v>21</v>
      </c>
      <c r="L333" t="str" cm="1">
        <f t="array" ref="L333">_xlfn.IFS(Table1[[#This Row],[Discount Applied]]=TRUE,"Yes",Table1[[#This Row],[Discount Applied]]=FALSE,"No")</f>
        <v>Yes</v>
      </c>
      <c r="M333" t="str" cm="1">
        <f t="array" ref="M333">_xlfn.IFS(Table1[[#This Row],[Age]]&lt;18,"Under 18",Table1[[#This Row],[Age]]&lt;=23,"18-23",Table1[[#This Row],[Age]]&lt;=29,"24-29",Table1[[#This Row],[Age]]&lt;=35,"30-35",Table1[[#This Row],[Age]]&lt;=41,"36-41",Table1[[#This Row],[Age]]&gt;41,"Over 41")</f>
        <v>36-41</v>
      </c>
      <c r="N333" t="str" cm="1">
        <f t="array" ref="N333">_xlfn.IFS(Table1[[#This Row],[Days Since Last Purchase]]&lt;21,"Active",Table1[[#This Row],[Days Since Last Purchase]]&lt;=42,"Moderately Active",Table1[[#This Row],[Days Since Last Purchase]]&gt;=43, "Inactive")</f>
        <v>Inactive</v>
      </c>
      <c r="O333">
        <f>IF(K333="Satisfied",1,IF(K333="Neutral",0.5,IF(K333="Unsatisfied",0,IF(Table1[[#This Row],[Satisfaction Level]]="No Response","0"))))</f>
        <v>0</v>
      </c>
    </row>
    <row r="334" spans="1:15" x14ac:dyDescent="0.45">
      <c r="A334">
        <v>433</v>
      </c>
      <c r="B334" t="s">
        <v>15</v>
      </c>
      <c r="C334">
        <v>28</v>
      </c>
      <c r="D334" t="s">
        <v>22</v>
      </c>
      <c r="E334" t="s">
        <v>13</v>
      </c>
      <c r="F334">
        <v>1490.1</v>
      </c>
      <c r="G334">
        <v>21</v>
      </c>
      <c r="H334">
        <v>4.9000000000000004</v>
      </c>
      <c r="I334" t="b">
        <v>0</v>
      </c>
      <c r="J334">
        <v>11</v>
      </c>
      <c r="K334" t="s">
        <v>14</v>
      </c>
      <c r="L334" t="str" cm="1">
        <f t="array" ref="L334">_xlfn.IFS(Table1[[#This Row],[Discount Applied]]=TRUE,"Yes",Table1[[#This Row],[Discount Applied]]=FALSE,"No")</f>
        <v>No</v>
      </c>
      <c r="M334" t="str" cm="1">
        <f t="array" ref="M334">_xlfn.IFS(Table1[[#This Row],[Age]]&lt;18,"Under 18",Table1[[#This Row],[Age]]&lt;=23,"18-23",Table1[[#This Row],[Age]]&lt;=29,"24-29",Table1[[#This Row],[Age]]&lt;=35,"30-35",Table1[[#This Row],[Age]]&lt;=41,"36-41",Table1[[#This Row],[Age]]&gt;41,"Over 41")</f>
        <v>24-29</v>
      </c>
      <c r="N334" t="str" cm="1">
        <f t="array" ref="N334">_xlfn.IFS(Table1[[#This Row],[Days Since Last Purchase]]&lt;21,"Active",Table1[[#This Row],[Days Since Last Purchase]]&lt;=42,"Moderately Active",Table1[[#This Row],[Days Since Last Purchase]]&gt;=43, "Inactive")</f>
        <v>Active</v>
      </c>
      <c r="O334">
        <f>IF(K334="Satisfied",1,IF(K334="Neutral",0.5,IF(K334="Unsatisfied",0,IF(Table1[[#This Row],[Satisfaction Level]]="No Response","0"))))</f>
        <v>1</v>
      </c>
    </row>
    <row r="335" spans="1:15" x14ac:dyDescent="0.45">
      <c r="A335">
        <v>434</v>
      </c>
      <c r="B335" t="s">
        <v>15</v>
      </c>
      <c r="C335">
        <v>32</v>
      </c>
      <c r="D335" t="s">
        <v>23</v>
      </c>
      <c r="E335" t="s">
        <v>17</v>
      </c>
      <c r="F335">
        <v>660.3</v>
      </c>
      <c r="G335">
        <v>10</v>
      </c>
      <c r="H335">
        <v>3.8</v>
      </c>
      <c r="I335" t="b">
        <v>1</v>
      </c>
      <c r="J335">
        <v>41</v>
      </c>
      <c r="K335" t="s">
        <v>21</v>
      </c>
      <c r="L335" t="str" cm="1">
        <f t="array" ref="L335">_xlfn.IFS(Table1[[#This Row],[Discount Applied]]=TRUE,"Yes",Table1[[#This Row],[Discount Applied]]=FALSE,"No")</f>
        <v>Yes</v>
      </c>
      <c r="M335" t="str" cm="1">
        <f t="array" ref="M335">_xlfn.IFS(Table1[[#This Row],[Age]]&lt;18,"Under 18",Table1[[#This Row],[Age]]&lt;=23,"18-23",Table1[[#This Row],[Age]]&lt;=29,"24-29",Table1[[#This Row],[Age]]&lt;=35,"30-35",Table1[[#This Row],[Age]]&lt;=41,"36-41",Table1[[#This Row],[Age]]&gt;41,"Over 41")</f>
        <v>30-35</v>
      </c>
      <c r="N335" t="str" cm="1">
        <f t="array" ref="N335">_xlfn.IFS(Table1[[#This Row],[Days Since Last Purchase]]&lt;21,"Active",Table1[[#This Row],[Days Since Last Purchase]]&lt;=42,"Moderately Active",Table1[[#This Row],[Days Since Last Purchase]]&gt;=43, "Inactive")</f>
        <v>Moderately Active</v>
      </c>
      <c r="O335">
        <f>IF(K335="Satisfied",1,IF(K335="Neutral",0.5,IF(K335="Unsatisfied",0,IF(Table1[[#This Row],[Satisfaction Level]]="No Response","0"))))</f>
        <v>0</v>
      </c>
    </row>
    <row r="336" spans="1:15" x14ac:dyDescent="0.45">
      <c r="A336">
        <v>435</v>
      </c>
      <c r="B336" t="s">
        <v>11</v>
      </c>
      <c r="C336">
        <v>36</v>
      </c>
      <c r="D336" t="s">
        <v>24</v>
      </c>
      <c r="E336" t="s">
        <v>20</v>
      </c>
      <c r="F336">
        <v>440.5</v>
      </c>
      <c r="G336">
        <v>8</v>
      </c>
      <c r="H336">
        <v>3.1</v>
      </c>
      <c r="I336" t="b">
        <v>0</v>
      </c>
      <c r="J336">
        <v>28</v>
      </c>
      <c r="K336" t="s">
        <v>18</v>
      </c>
      <c r="L336" t="str" cm="1">
        <f t="array" ref="L336">_xlfn.IFS(Table1[[#This Row],[Discount Applied]]=TRUE,"Yes",Table1[[#This Row],[Discount Applied]]=FALSE,"No")</f>
        <v>No</v>
      </c>
      <c r="M336" t="str" cm="1">
        <f t="array" ref="M336">_xlfn.IFS(Table1[[#This Row],[Age]]&lt;18,"Under 18",Table1[[#This Row],[Age]]&lt;=23,"18-23",Table1[[#This Row],[Age]]&lt;=29,"24-29",Table1[[#This Row],[Age]]&lt;=35,"30-35",Table1[[#This Row],[Age]]&lt;=41,"36-41",Table1[[#This Row],[Age]]&gt;41,"Over 41")</f>
        <v>36-41</v>
      </c>
      <c r="N336" t="str" cm="1">
        <f t="array" ref="N336">_xlfn.IFS(Table1[[#This Row],[Days Since Last Purchase]]&lt;21,"Active",Table1[[#This Row],[Days Since Last Purchase]]&lt;=42,"Moderately Active",Table1[[#This Row],[Days Since Last Purchase]]&gt;=43, "Inactive")</f>
        <v>Moderately Active</v>
      </c>
      <c r="O336">
        <f>IF(K336="Satisfied",1,IF(K336="Neutral",0.5,IF(K336="Unsatisfied",0,IF(Table1[[#This Row],[Satisfaction Level]]="No Response","0"))))</f>
        <v>0.5</v>
      </c>
    </row>
    <row r="337" spans="1:15" x14ac:dyDescent="0.45">
      <c r="A337">
        <v>436</v>
      </c>
      <c r="B337" t="s">
        <v>11</v>
      </c>
      <c r="C337">
        <v>30</v>
      </c>
      <c r="D337" t="s">
        <v>12</v>
      </c>
      <c r="E337" t="s">
        <v>13</v>
      </c>
      <c r="F337">
        <v>1200.8</v>
      </c>
      <c r="G337">
        <v>16</v>
      </c>
      <c r="H337">
        <v>4.7</v>
      </c>
      <c r="I337" t="b">
        <v>1</v>
      </c>
      <c r="J337">
        <v>28</v>
      </c>
      <c r="K337" t="s">
        <v>14</v>
      </c>
      <c r="L337" t="str" cm="1">
        <f t="array" ref="L337">_xlfn.IFS(Table1[[#This Row],[Discount Applied]]=TRUE,"Yes",Table1[[#This Row],[Discount Applied]]=FALSE,"No")</f>
        <v>Yes</v>
      </c>
      <c r="M337" t="str" cm="1">
        <f t="array" ref="M337">_xlfn.IFS(Table1[[#This Row],[Age]]&lt;18,"Under 18",Table1[[#This Row],[Age]]&lt;=23,"18-23",Table1[[#This Row],[Age]]&lt;=29,"24-29",Table1[[#This Row],[Age]]&lt;=35,"30-35",Table1[[#This Row],[Age]]&lt;=41,"36-41",Table1[[#This Row],[Age]]&gt;41,"Over 41")</f>
        <v>30-35</v>
      </c>
      <c r="N337" t="str" cm="1">
        <f t="array" ref="N337">_xlfn.IFS(Table1[[#This Row],[Days Since Last Purchase]]&lt;21,"Active",Table1[[#This Row],[Days Since Last Purchase]]&lt;=42,"Moderately Active",Table1[[#This Row],[Days Since Last Purchase]]&gt;=43, "Inactive")</f>
        <v>Moderately Active</v>
      </c>
      <c r="O337">
        <f>IF(K337="Satisfied",1,IF(K337="Neutral",0.5,IF(K337="Unsatisfied",0,IF(Table1[[#This Row],[Satisfaction Level]]="No Response","0"))))</f>
        <v>1</v>
      </c>
    </row>
    <row r="338" spans="1:15" x14ac:dyDescent="0.45">
      <c r="A338">
        <v>437</v>
      </c>
      <c r="B338" t="s">
        <v>15</v>
      </c>
      <c r="C338">
        <v>34</v>
      </c>
      <c r="D338" t="s">
        <v>16</v>
      </c>
      <c r="E338" t="s">
        <v>17</v>
      </c>
      <c r="F338">
        <v>780.2</v>
      </c>
      <c r="G338">
        <v>11</v>
      </c>
      <c r="H338">
        <v>4.0999999999999996</v>
      </c>
      <c r="I338" t="b">
        <v>0</v>
      </c>
      <c r="J338">
        <v>19</v>
      </c>
      <c r="K338" t="s">
        <v>18</v>
      </c>
      <c r="L338" t="str" cm="1">
        <f t="array" ref="L338">_xlfn.IFS(Table1[[#This Row],[Discount Applied]]=TRUE,"Yes",Table1[[#This Row],[Discount Applied]]=FALSE,"No")</f>
        <v>No</v>
      </c>
      <c r="M338" t="str" cm="1">
        <f t="array" ref="M338">_xlfn.IFS(Table1[[#This Row],[Age]]&lt;18,"Under 18",Table1[[#This Row],[Age]]&lt;=23,"18-23",Table1[[#This Row],[Age]]&lt;=29,"24-29",Table1[[#This Row],[Age]]&lt;=35,"30-35",Table1[[#This Row],[Age]]&lt;=41,"36-41",Table1[[#This Row],[Age]]&gt;41,"Over 41")</f>
        <v>30-35</v>
      </c>
      <c r="N338" t="str" cm="1">
        <f t="array" ref="N338">_xlfn.IFS(Table1[[#This Row],[Days Since Last Purchase]]&lt;21,"Active",Table1[[#This Row],[Days Since Last Purchase]]&lt;=42,"Moderately Active",Table1[[#This Row],[Days Since Last Purchase]]&gt;=43, "Inactive")</f>
        <v>Active</v>
      </c>
      <c r="O338">
        <f>IF(K338="Satisfied",1,IF(K338="Neutral",0.5,IF(K338="Unsatisfied",0,IF(Table1[[#This Row],[Satisfaction Level]]="No Response","0"))))</f>
        <v>0.5</v>
      </c>
    </row>
    <row r="339" spans="1:15" x14ac:dyDescent="0.45">
      <c r="A339">
        <v>438</v>
      </c>
      <c r="B339" t="s">
        <v>11</v>
      </c>
      <c r="C339">
        <v>43</v>
      </c>
      <c r="D339" t="s">
        <v>19</v>
      </c>
      <c r="E339" t="s">
        <v>20</v>
      </c>
      <c r="F339">
        <v>505.75</v>
      </c>
      <c r="G339">
        <v>10</v>
      </c>
      <c r="H339">
        <v>3.3</v>
      </c>
      <c r="I339" t="b">
        <v>1</v>
      </c>
      <c r="J339">
        <v>48</v>
      </c>
      <c r="K339" t="s">
        <v>21</v>
      </c>
      <c r="L339" t="str" cm="1">
        <f t="array" ref="L339">_xlfn.IFS(Table1[[#This Row],[Discount Applied]]=TRUE,"Yes",Table1[[#This Row],[Discount Applied]]=FALSE,"No")</f>
        <v>Yes</v>
      </c>
      <c r="M339" t="str" cm="1">
        <f t="array" ref="M339">_xlfn.IFS(Table1[[#This Row],[Age]]&lt;18,"Under 18",Table1[[#This Row],[Age]]&lt;=23,"18-23",Table1[[#This Row],[Age]]&lt;=29,"24-29",Table1[[#This Row],[Age]]&lt;=35,"30-35",Table1[[#This Row],[Age]]&lt;=41,"36-41",Table1[[#This Row],[Age]]&gt;41,"Over 41")</f>
        <v>Over 41</v>
      </c>
      <c r="N339" t="str" cm="1">
        <f t="array" ref="N339">_xlfn.IFS(Table1[[#This Row],[Days Since Last Purchase]]&lt;21,"Active",Table1[[#This Row],[Days Since Last Purchase]]&lt;=42,"Moderately Active",Table1[[#This Row],[Days Since Last Purchase]]&gt;=43, "Inactive")</f>
        <v>Inactive</v>
      </c>
      <c r="O339">
        <f>IF(K339="Satisfied",1,IF(K339="Neutral",0.5,IF(K339="Unsatisfied",0,IF(Table1[[#This Row],[Satisfaction Level]]="No Response","0"))))</f>
        <v>0</v>
      </c>
    </row>
    <row r="340" spans="1:15" x14ac:dyDescent="0.45">
      <c r="A340">
        <v>439</v>
      </c>
      <c r="B340" t="s">
        <v>15</v>
      </c>
      <c r="C340">
        <v>30</v>
      </c>
      <c r="D340" t="s">
        <v>22</v>
      </c>
      <c r="E340" t="s">
        <v>13</v>
      </c>
      <c r="F340">
        <v>1460.5</v>
      </c>
      <c r="G340">
        <v>20</v>
      </c>
      <c r="H340">
        <v>4.8</v>
      </c>
      <c r="I340" t="b">
        <v>0</v>
      </c>
      <c r="J340">
        <v>15</v>
      </c>
      <c r="K340" t="s">
        <v>14</v>
      </c>
      <c r="L340" t="str" cm="1">
        <f t="array" ref="L340">_xlfn.IFS(Table1[[#This Row],[Discount Applied]]=TRUE,"Yes",Table1[[#This Row],[Discount Applied]]=FALSE,"No")</f>
        <v>No</v>
      </c>
      <c r="M340" t="str" cm="1">
        <f t="array" ref="M340">_xlfn.IFS(Table1[[#This Row],[Age]]&lt;18,"Under 18",Table1[[#This Row],[Age]]&lt;=23,"18-23",Table1[[#This Row],[Age]]&lt;=29,"24-29",Table1[[#This Row],[Age]]&lt;=35,"30-35",Table1[[#This Row],[Age]]&lt;=41,"36-41",Table1[[#This Row],[Age]]&gt;41,"Over 41")</f>
        <v>30-35</v>
      </c>
      <c r="N340" t="str" cm="1">
        <f t="array" ref="N340">_xlfn.IFS(Table1[[#This Row],[Days Since Last Purchase]]&lt;21,"Active",Table1[[#This Row],[Days Since Last Purchase]]&lt;=42,"Moderately Active",Table1[[#This Row],[Days Since Last Purchase]]&gt;=43, "Inactive")</f>
        <v>Active</v>
      </c>
      <c r="O340">
        <f>IF(K340="Satisfied",1,IF(K340="Neutral",0.5,IF(K340="Unsatisfied",0,IF(Table1[[#This Row],[Satisfaction Level]]="No Response","0"))))</f>
        <v>1</v>
      </c>
    </row>
    <row r="341" spans="1:15" x14ac:dyDescent="0.45">
      <c r="A341">
        <v>440</v>
      </c>
      <c r="B341" t="s">
        <v>15</v>
      </c>
      <c r="C341">
        <v>27</v>
      </c>
      <c r="D341" t="s">
        <v>23</v>
      </c>
      <c r="E341" t="s">
        <v>17</v>
      </c>
      <c r="F341">
        <v>710.4</v>
      </c>
      <c r="G341">
        <v>13</v>
      </c>
      <c r="H341">
        <v>4.0999999999999996</v>
      </c>
      <c r="I341" t="b">
        <v>1</v>
      </c>
      <c r="J341">
        <v>63</v>
      </c>
      <c r="K341" t="s">
        <v>21</v>
      </c>
      <c r="L341" t="str" cm="1">
        <f t="array" ref="L341">_xlfn.IFS(Table1[[#This Row],[Discount Applied]]=TRUE,"Yes",Table1[[#This Row],[Discount Applied]]=FALSE,"No")</f>
        <v>Yes</v>
      </c>
      <c r="M341" t="str" cm="1">
        <f t="array" ref="M341">_xlfn.IFS(Table1[[#This Row],[Age]]&lt;18,"Under 18",Table1[[#This Row],[Age]]&lt;=23,"18-23",Table1[[#This Row],[Age]]&lt;=29,"24-29",Table1[[#This Row],[Age]]&lt;=35,"30-35",Table1[[#This Row],[Age]]&lt;=41,"36-41",Table1[[#This Row],[Age]]&gt;41,"Over 41")</f>
        <v>24-29</v>
      </c>
      <c r="N341" t="str" cm="1">
        <f t="array" ref="N341">_xlfn.IFS(Table1[[#This Row],[Days Since Last Purchase]]&lt;21,"Active",Table1[[#This Row],[Days Since Last Purchase]]&lt;=42,"Moderately Active",Table1[[#This Row],[Days Since Last Purchase]]&gt;=43, "Inactive")</f>
        <v>Inactive</v>
      </c>
      <c r="O341">
        <f>IF(K341="Satisfied",1,IF(K341="Neutral",0.5,IF(K341="Unsatisfied",0,IF(Table1[[#This Row],[Satisfaction Level]]="No Response","0"))))</f>
        <v>0</v>
      </c>
    </row>
    <row r="342" spans="1:15" x14ac:dyDescent="0.45">
      <c r="A342">
        <v>441</v>
      </c>
      <c r="B342" t="s">
        <v>11</v>
      </c>
      <c r="C342">
        <v>37</v>
      </c>
      <c r="D342" t="s">
        <v>24</v>
      </c>
      <c r="E342" t="s">
        <v>20</v>
      </c>
      <c r="F342">
        <v>450.8</v>
      </c>
      <c r="G342">
        <v>7</v>
      </c>
      <c r="H342">
        <v>3.4</v>
      </c>
      <c r="I342" t="b">
        <v>0</v>
      </c>
      <c r="J342">
        <v>32</v>
      </c>
      <c r="K342" t="s">
        <v>18</v>
      </c>
      <c r="L342" t="str" cm="1">
        <f t="array" ref="L342">_xlfn.IFS(Table1[[#This Row],[Discount Applied]]=TRUE,"Yes",Table1[[#This Row],[Discount Applied]]=FALSE,"No")</f>
        <v>No</v>
      </c>
      <c r="M342" t="str" cm="1">
        <f t="array" ref="M342">_xlfn.IFS(Table1[[#This Row],[Age]]&lt;18,"Under 18",Table1[[#This Row],[Age]]&lt;=23,"18-23",Table1[[#This Row],[Age]]&lt;=29,"24-29",Table1[[#This Row],[Age]]&lt;=35,"30-35",Table1[[#This Row],[Age]]&lt;=41,"36-41",Table1[[#This Row],[Age]]&gt;41,"Over 41")</f>
        <v>36-41</v>
      </c>
      <c r="N342" t="str" cm="1">
        <f t="array" ref="N342">_xlfn.IFS(Table1[[#This Row],[Days Since Last Purchase]]&lt;21,"Active",Table1[[#This Row],[Days Since Last Purchase]]&lt;=42,"Moderately Active",Table1[[#This Row],[Days Since Last Purchase]]&gt;=43, "Inactive")</f>
        <v>Moderately Active</v>
      </c>
      <c r="O342">
        <f>IF(K342="Satisfied",1,IF(K342="Neutral",0.5,IF(K342="Unsatisfied",0,IF(Table1[[#This Row],[Satisfaction Level]]="No Response","0"))))</f>
        <v>0.5</v>
      </c>
    </row>
    <row r="343" spans="1:15" x14ac:dyDescent="0.45">
      <c r="A343">
        <v>442</v>
      </c>
      <c r="B343" t="s">
        <v>11</v>
      </c>
      <c r="C343">
        <v>31</v>
      </c>
      <c r="D343" t="s">
        <v>12</v>
      </c>
      <c r="E343" t="s">
        <v>13</v>
      </c>
      <c r="F343">
        <v>1140.5999999999999</v>
      </c>
      <c r="G343">
        <v>15</v>
      </c>
      <c r="H343">
        <v>4.5</v>
      </c>
      <c r="I343" t="b">
        <v>1</v>
      </c>
      <c r="J343">
        <v>36</v>
      </c>
      <c r="K343" t="s">
        <v>14</v>
      </c>
      <c r="L343" t="str" cm="1">
        <f t="array" ref="L343">_xlfn.IFS(Table1[[#This Row],[Discount Applied]]=TRUE,"Yes",Table1[[#This Row],[Discount Applied]]=FALSE,"No")</f>
        <v>Yes</v>
      </c>
      <c r="M343" t="str" cm="1">
        <f t="array" ref="M343">_xlfn.IFS(Table1[[#This Row],[Age]]&lt;18,"Under 18",Table1[[#This Row],[Age]]&lt;=23,"18-23",Table1[[#This Row],[Age]]&lt;=29,"24-29",Table1[[#This Row],[Age]]&lt;=35,"30-35",Table1[[#This Row],[Age]]&lt;=41,"36-41",Table1[[#This Row],[Age]]&gt;41,"Over 41")</f>
        <v>30-35</v>
      </c>
      <c r="N343" t="str" cm="1">
        <f t="array" ref="N343">_xlfn.IFS(Table1[[#This Row],[Days Since Last Purchase]]&lt;21,"Active",Table1[[#This Row],[Days Since Last Purchase]]&lt;=42,"Moderately Active",Table1[[#This Row],[Days Since Last Purchase]]&gt;=43, "Inactive")</f>
        <v>Moderately Active</v>
      </c>
      <c r="O343">
        <f>IF(K343="Satisfied",1,IF(K343="Neutral",0.5,IF(K343="Unsatisfied",0,IF(Table1[[#This Row],[Satisfaction Level]]="No Response","0"))))</f>
        <v>1</v>
      </c>
    </row>
    <row r="344" spans="1:15" x14ac:dyDescent="0.45">
      <c r="A344">
        <v>443</v>
      </c>
      <c r="B344" t="s">
        <v>15</v>
      </c>
      <c r="C344">
        <v>35</v>
      </c>
      <c r="D344" t="s">
        <v>16</v>
      </c>
      <c r="E344" t="s">
        <v>17</v>
      </c>
      <c r="F344">
        <v>800.9</v>
      </c>
      <c r="G344">
        <v>12</v>
      </c>
      <c r="H344">
        <v>4.0999999999999996</v>
      </c>
      <c r="I344" t="b">
        <v>0</v>
      </c>
      <c r="J344">
        <v>20</v>
      </c>
      <c r="K344" t="s">
        <v>18</v>
      </c>
      <c r="L344" t="str" cm="1">
        <f t="array" ref="L344">_xlfn.IFS(Table1[[#This Row],[Discount Applied]]=TRUE,"Yes",Table1[[#This Row],[Discount Applied]]=FALSE,"No")</f>
        <v>No</v>
      </c>
      <c r="M344" t="str" cm="1">
        <f t="array" ref="M344">_xlfn.IFS(Table1[[#This Row],[Age]]&lt;18,"Under 18",Table1[[#This Row],[Age]]&lt;=23,"18-23",Table1[[#This Row],[Age]]&lt;=29,"24-29",Table1[[#This Row],[Age]]&lt;=35,"30-35",Table1[[#This Row],[Age]]&lt;=41,"36-41",Table1[[#This Row],[Age]]&gt;41,"Over 41")</f>
        <v>30-35</v>
      </c>
      <c r="N344" t="str" cm="1">
        <f t="array" ref="N344">_xlfn.IFS(Table1[[#This Row],[Days Since Last Purchase]]&lt;21,"Active",Table1[[#This Row],[Days Since Last Purchase]]&lt;=42,"Moderately Active",Table1[[#This Row],[Days Since Last Purchase]]&gt;=43, "Inactive")</f>
        <v>Active</v>
      </c>
      <c r="O344">
        <f>IF(K344="Satisfied",1,IF(K344="Neutral",0.5,IF(K344="Unsatisfied",0,IF(Table1[[#This Row],[Satisfaction Level]]="No Response","0"))))</f>
        <v>0.5</v>
      </c>
    </row>
    <row r="345" spans="1:15" x14ac:dyDescent="0.45">
      <c r="A345">
        <v>444</v>
      </c>
      <c r="B345" t="s">
        <v>11</v>
      </c>
      <c r="C345">
        <v>41</v>
      </c>
      <c r="D345" t="s">
        <v>19</v>
      </c>
      <c r="E345" t="s">
        <v>20</v>
      </c>
      <c r="F345">
        <v>475.25</v>
      </c>
      <c r="G345">
        <v>9</v>
      </c>
      <c r="H345">
        <v>3.6</v>
      </c>
      <c r="I345" t="b">
        <v>1</v>
      </c>
      <c r="J345">
        <v>48</v>
      </c>
      <c r="K345" t="s">
        <v>21</v>
      </c>
      <c r="L345" t="str" cm="1">
        <f t="array" ref="L345">_xlfn.IFS(Table1[[#This Row],[Discount Applied]]=TRUE,"Yes",Table1[[#This Row],[Discount Applied]]=FALSE,"No")</f>
        <v>Yes</v>
      </c>
      <c r="M345" t="str" cm="1">
        <f t="array" ref="M345">_xlfn.IFS(Table1[[#This Row],[Age]]&lt;18,"Under 18",Table1[[#This Row],[Age]]&lt;=23,"18-23",Table1[[#This Row],[Age]]&lt;=29,"24-29",Table1[[#This Row],[Age]]&lt;=35,"30-35",Table1[[#This Row],[Age]]&lt;=41,"36-41",Table1[[#This Row],[Age]]&gt;41,"Over 41")</f>
        <v>36-41</v>
      </c>
      <c r="N345" t="str" cm="1">
        <f t="array" ref="N345">_xlfn.IFS(Table1[[#This Row],[Days Since Last Purchase]]&lt;21,"Active",Table1[[#This Row],[Days Since Last Purchase]]&lt;=42,"Moderately Active",Table1[[#This Row],[Days Since Last Purchase]]&gt;=43, "Inactive")</f>
        <v>Inactive</v>
      </c>
      <c r="O345">
        <f>IF(K345="Satisfied",1,IF(K345="Neutral",0.5,IF(K345="Unsatisfied",0,IF(Table1[[#This Row],[Satisfaction Level]]="No Response","0"))))</f>
        <v>0</v>
      </c>
    </row>
    <row r="346" spans="1:15" x14ac:dyDescent="0.45">
      <c r="A346">
        <v>445</v>
      </c>
      <c r="B346" t="s">
        <v>15</v>
      </c>
      <c r="C346">
        <v>28</v>
      </c>
      <c r="D346" t="s">
        <v>22</v>
      </c>
      <c r="E346" t="s">
        <v>13</v>
      </c>
      <c r="F346">
        <v>1480.1</v>
      </c>
      <c r="G346">
        <v>21</v>
      </c>
      <c r="H346">
        <v>4.9000000000000004</v>
      </c>
      <c r="I346" t="b">
        <v>0</v>
      </c>
      <c r="J346">
        <v>13</v>
      </c>
      <c r="K346" t="s">
        <v>14</v>
      </c>
      <c r="L346" t="str" cm="1">
        <f t="array" ref="L346">_xlfn.IFS(Table1[[#This Row],[Discount Applied]]=TRUE,"Yes",Table1[[#This Row],[Discount Applied]]=FALSE,"No")</f>
        <v>No</v>
      </c>
      <c r="M346" t="str" cm="1">
        <f t="array" ref="M346">_xlfn.IFS(Table1[[#This Row],[Age]]&lt;18,"Under 18",Table1[[#This Row],[Age]]&lt;=23,"18-23",Table1[[#This Row],[Age]]&lt;=29,"24-29",Table1[[#This Row],[Age]]&lt;=35,"30-35",Table1[[#This Row],[Age]]&lt;=41,"36-41",Table1[[#This Row],[Age]]&gt;41,"Over 41")</f>
        <v>24-29</v>
      </c>
      <c r="N346" t="str" cm="1">
        <f t="array" ref="N346">_xlfn.IFS(Table1[[#This Row],[Days Since Last Purchase]]&lt;21,"Active",Table1[[#This Row],[Days Since Last Purchase]]&lt;=42,"Moderately Active",Table1[[#This Row],[Days Since Last Purchase]]&gt;=43, "Inactive")</f>
        <v>Active</v>
      </c>
      <c r="O346">
        <f>IF(K346="Satisfied",1,IF(K346="Neutral",0.5,IF(K346="Unsatisfied",0,IF(Table1[[#This Row],[Satisfaction Level]]="No Response","0"))))</f>
        <v>1</v>
      </c>
    </row>
    <row r="347" spans="1:15" x14ac:dyDescent="0.45">
      <c r="A347">
        <v>446</v>
      </c>
      <c r="B347" t="s">
        <v>15</v>
      </c>
      <c r="C347">
        <v>32</v>
      </c>
      <c r="D347" t="s">
        <v>23</v>
      </c>
      <c r="E347" t="s">
        <v>17</v>
      </c>
      <c r="F347">
        <v>660.3</v>
      </c>
      <c r="G347">
        <v>10</v>
      </c>
      <c r="H347">
        <v>3.8</v>
      </c>
      <c r="I347" t="b">
        <v>1</v>
      </c>
      <c r="J347">
        <v>42</v>
      </c>
      <c r="K347" t="s">
        <v>21</v>
      </c>
      <c r="L347" t="str" cm="1">
        <f t="array" ref="L347">_xlfn.IFS(Table1[[#This Row],[Discount Applied]]=TRUE,"Yes",Table1[[#This Row],[Discount Applied]]=FALSE,"No")</f>
        <v>Yes</v>
      </c>
      <c r="M347" t="str" cm="1">
        <f t="array" ref="M347">_xlfn.IFS(Table1[[#This Row],[Age]]&lt;18,"Under 18",Table1[[#This Row],[Age]]&lt;=23,"18-23",Table1[[#This Row],[Age]]&lt;=29,"24-29",Table1[[#This Row],[Age]]&lt;=35,"30-35",Table1[[#This Row],[Age]]&lt;=41,"36-41",Table1[[#This Row],[Age]]&gt;41,"Over 41")</f>
        <v>30-35</v>
      </c>
      <c r="N347" t="str" cm="1">
        <f t="array" ref="N347">_xlfn.IFS(Table1[[#This Row],[Days Since Last Purchase]]&lt;21,"Active",Table1[[#This Row],[Days Since Last Purchase]]&lt;=42,"Moderately Active",Table1[[#This Row],[Days Since Last Purchase]]&gt;=43, "Inactive")</f>
        <v>Moderately Active</v>
      </c>
      <c r="O347">
        <f>IF(K347="Satisfied",1,IF(K347="Neutral",0.5,IF(K347="Unsatisfied",0,IF(Table1[[#This Row],[Satisfaction Level]]="No Response","0"))))</f>
        <v>0</v>
      </c>
    </row>
    <row r="348" spans="1:15" x14ac:dyDescent="0.45">
      <c r="A348">
        <v>447</v>
      </c>
      <c r="B348" t="s">
        <v>11</v>
      </c>
      <c r="C348">
        <v>36</v>
      </c>
      <c r="D348" t="s">
        <v>24</v>
      </c>
      <c r="E348" t="s">
        <v>20</v>
      </c>
      <c r="F348">
        <v>470.5</v>
      </c>
      <c r="G348">
        <v>8</v>
      </c>
      <c r="H348">
        <v>3</v>
      </c>
      <c r="I348" t="b">
        <v>0</v>
      </c>
      <c r="J348">
        <v>27</v>
      </c>
      <c r="K348" t="s">
        <v>18</v>
      </c>
      <c r="L348" t="str" cm="1">
        <f t="array" ref="L348">_xlfn.IFS(Table1[[#This Row],[Discount Applied]]=TRUE,"Yes",Table1[[#This Row],[Discount Applied]]=FALSE,"No")</f>
        <v>No</v>
      </c>
      <c r="M348" t="str" cm="1">
        <f t="array" ref="M348">_xlfn.IFS(Table1[[#This Row],[Age]]&lt;18,"Under 18",Table1[[#This Row],[Age]]&lt;=23,"18-23",Table1[[#This Row],[Age]]&lt;=29,"24-29",Table1[[#This Row],[Age]]&lt;=35,"30-35",Table1[[#This Row],[Age]]&lt;=41,"36-41",Table1[[#This Row],[Age]]&gt;41,"Over 41")</f>
        <v>36-41</v>
      </c>
      <c r="N348" t="str" cm="1">
        <f t="array" ref="N348">_xlfn.IFS(Table1[[#This Row],[Days Since Last Purchase]]&lt;21,"Active",Table1[[#This Row],[Days Since Last Purchase]]&lt;=42,"Moderately Active",Table1[[#This Row],[Days Since Last Purchase]]&gt;=43, "Inactive")</f>
        <v>Moderately Active</v>
      </c>
      <c r="O348">
        <f>IF(K348="Satisfied",1,IF(K348="Neutral",0.5,IF(K348="Unsatisfied",0,IF(Table1[[#This Row],[Satisfaction Level]]="No Response","0"))))</f>
        <v>0.5</v>
      </c>
    </row>
    <row r="349" spans="1:15" x14ac:dyDescent="0.45">
      <c r="A349">
        <v>448</v>
      </c>
      <c r="B349" t="s">
        <v>11</v>
      </c>
      <c r="C349">
        <v>30</v>
      </c>
      <c r="D349" t="s">
        <v>12</v>
      </c>
      <c r="E349" t="s">
        <v>13</v>
      </c>
      <c r="F349">
        <v>1190.8</v>
      </c>
      <c r="G349">
        <v>16</v>
      </c>
      <c r="H349">
        <v>4.5</v>
      </c>
      <c r="I349" t="b">
        <v>1</v>
      </c>
      <c r="J349">
        <v>28</v>
      </c>
      <c r="K349" t="s">
        <v>14</v>
      </c>
      <c r="L349" t="str" cm="1">
        <f t="array" ref="L349">_xlfn.IFS(Table1[[#This Row],[Discount Applied]]=TRUE,"Yes",Table1[[#This Row],[Discount Applied]]=FALSE,"No")</f>
        <v>Yes</v>
      </c>
      <c r="M349" t="str" cm="1">
        <f t="array" ref="M349">_xlfn.IFS(Table1[[#This Row],[Age]]&lt;18,"Under 18",Table1[[#This Row],[Age]]&lt;=23,"18-23",Table1[[#This Row],[Age]]&lt;=29,"24-29",Table1[[#This Row],[Age]]&lt;=35,"30-35",Table1[[#This Row],[Age]]&lt;=41,"36-41",Table1[[#This Row],[Age]]&gt;41,"Over 41")</f>
        <v>30-35</v>
      </c>
      <c r="N349" t="str" cm="1">
        <f t="array" ref="N349">_xlfn.IFS(Table1[[#This Row],[Days Since Last Purchase]]&lt;21,"Active",Table1[[#This Row],[Days Since Last Purchase]]&lt;=42,"Moderately Active",Table1[[#This Row],[Days Since Last Purchase]]&gt;=43, "Inactive")</f>
        <v>Moderately Active</v>
      </c>
      <c r="O349">
        <f>IF(K349="Satisfied",1,IF(K349="Neutral",0.5,IF(K349="Unsatisfied",0,IF(Table1[[#This Row],[Satisfaction Level]]="No Response","0"))))</f>
        <v>1</v>
      </c>
    </row>
    <row r="350" spans="1:15" x14ac:dyDescent="0.45">
      <c r="A350">
        <v>449</v>
      </c>
      <c r="B350" t="s">
        <v>15</v>
      </c>
      <c r="C350">
        <v>34</v>
      </c>
      <c r="D350" t="s">
        <v>16</v>
      </c>
      <c r="E350" t="s">
        <v>17</v>
      </c>
      <c r="F350">
        <v>780.2</v>
      </c>
      <c r="G350">
        <v>11</v>
      </c>
      <c r="H350">
        <v>4.2</v>
      </c>
      <c r="I350" t="b">
        <v>0</v>
      </c>
      <c r="J350">
        <v>21</v>
      </c>
      <c r="K350" t="s">
        <v>18</v>
      </c>
      <c r="L350" t="str" cm="1">
        <f t="array" ref="L350">_xlfn.IFS(Table1[[#This Row],[Discount Applied]]=TRUE,"Yes",Table1[[#This Row],[Discount Applied]]=FALSE,"No")</f>
        <v>No</v>
      </c>
      <c r="M350" t="str" cm="1">
        <f t="array" ref="M350">_xlfn.IFS(Table1[[#This Row],[Age]]&lt;18,"Under 18",Table1[[#This Row],[Age]]&lt;=23,"18-23",Table1[[#This Row],[Age]]&lt;=29,"24-29",Table1[[#This Row],[Age]]&lt;=35,"30-35",Table1[[#This Row],[Age]]&lt;=41,"36-41",Table1[[#This Row],[Age]]&gt;41,"Over 41")</f>
        <v>30-35</v>
      </c>
      <c r="N350" t="str" cm="1">
        <f t="array" ref="N350">_xlfn.IFS(Table1[[#This Row],[Days Since Last Purchase]]&lt;21,"Active",Table1[[#This Row],[Days Since Last Purchase]]&lt;=42,"Moderately Active",Table1[[#This Row],[Days Since Last Purchase]]&gt;=43, "Inactive")</f>
        <v>Moderately Active</v>
      </c>
      <c r="O350">
        <f>IF(K350="Satisfied",1,IF(K350="Neutral",0.5,IF(K350="Unsatisfied",0,IF(Table1[[#This Row],[Satisfaction Level]]="No Response","0"))))</f>
        <v>0.5</v>
      </c>
    </row>
    <row r="351" spans="1:15" x14ac:dyDescent="0.45">
      <c r="A351">
        <v>450</v>
      </c>
      <c r="B351" t="s">
        <v>11</v>
      </c>
      <c r="C351">
        <v>43</v>
      </c>
      <c r="D351" t="s">
        <v>19</v>
      </c>
      <c r="E351" t="s">
        <v>20</v>
      </c>
      <c r="F351">
        <v>515.75</v>
      </c>
      <c r="G351">
        <v>10</v>
      </c>
      <c r="H351">
        <v>3.3</v>
      </c>
      <c r="I351" t="b">
        <v>1</v>
      </c>
      <c r="J351">
        <v>49</v>
      </c>
      <c r="K351" t="s">
        <v>21</v>
      </c>
      <c r="L351" t="str" cm="1">
        <f t="array" ref="L351">_xlfn.IFS(Table1[[#This Row],[Discount Applied]]=TRUE,"Yes",Table1[[#This Row],[Discount Applied]]=FALSE,"No")</f>
        <v>Yes</v>
      </c>
      <c r="M351" t="str" cm="1">
        <f t="array" ref="M351">_xlfn.IFS(Table1[[#This Row],[Age]]&lt;18,"Under 18",Table1[[#This Row],[Age]]&lt;=23,"18-23",Table1[[#This Row],[Age]]&lt;=29,"24-29",Table1[[#This Row],[Age]]&lt;=35,"30-35",Table1[[#This Row],[Age]]&lt;=41,"36-41",Table1[[#This Row],[Age]]&gt;41,"Over 41")</f>
        <v>Over 41</v>
      </c>
      <c r="N351" t="str" cm="1">
        <f t="array" ref="N351">_xlfn.IFS(Table1[[#This Row],[Days Since Last Purchase]]&lt;21,"Active",Table1[[#This Row],[Days Since Last Purchase]]&lt;=42,"Moderately Active",Table1[[#This Row],[Days Since Last Purchase]]&gt;=43, "Inactive")</f>
        <v>Inactive</v>
      </c>
      <c r="O351">
        <f>IF(K351="Satisfied",1,IF(K351="Neutral",0.5,IF(K351="Unsatisfied",0,IF(Table1[[#This Row],[Satisfaction Level]]="No Response","0"))))</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DashBoard</vt:lpstr>
      <vt:lpstr>Gauge Chart</vt:lpstr>
      <vt:lpstr>Pie Chart</vt:lpstr>
      <vt:lpstr>ParetoChart</vt:lpstr>
      <vt:lpstr>Scatter Plot</vt:lpstr>
      <vt:lpstr>Items Purchased-Gender and Age</vt:lpstr>
      <vt:lpstr>Slicers</vt:lpstr>
      <vt:lpstr>City</vt:lpstr>
      <vt:lpstr>Age</vt:lpstr>
      <vt:lpstr>Customers</vt:lpstr>
      <vt:lpstr>E-commerce Customer Behavior - </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Khine Zin Thant</cp:lastModifiedBy>
  <dcterms:created xsi:type="dcterms:W3CDTF">2026-01-31T09:37:12Z</dcterms:created>
  <dcterms:modified xsi:type="dcterms:W3CDTF">2026-02-02T09:48:27Z</dcterms:modified>
</cp:coreProperties>
</file>